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Grade_CalcMoha\"/>
    </mc:Choice>
  </mc:AlternateContent>
  <xr:revisionPtr revIDLastSave="0" documentId="13_ncr:1_{6965FBAE-71D7-4845-B41C-9A16D3A81A8A}" xr6:coauthVersionLast="47" xr6:coauthVersionMax="47" xr10:uidLastSave="{00000000-0000-0000-0000-000000000000}"/>
  <bookViews>
    <workbookView xWindow="0" yWindow="0" windowWidth="21268" windowHeight="11963" tabRatio="745" firstSheet="1" activeTab="3" xr2:uid="{00000000-000D-0000-FFFF-FFFF00000000}"/>
  </bookViews>
  <sheets>
    <sheet name="Sheet1" sheetId="1" state="hidden" r:id="rId1"/>
    <sheet name="نواتج التعلم" sheetId="16" r:id="rId2"/>
    <sheet name="رصد الدرجات" sheetId="17" r:id="rId3"/>
    <sheet name="قياس النواتج" sheetId="14" r:id="rId4"/>
  </sheets>
  <definedNames>
    <definedName name="_xlnm.Print_Titles" localSheetId="2">'رصد الدرجات'!$6:$6</definedName>
    <definedName name="_xlnm.Print_Titles" localSheetId="3">'قياس النواتج'!$18:$18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4" l="1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8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D47" i="17"/>
  <c r="A47" i="17"/>
  <c r="D46" i="17"/>
  <c r="A46" i="17"/>
  <c r="D45" i="17"/>
  <c r="A45" i="17"/>
  <c r="D44" i="17"/>
  <c r="A44" i="17"/>
  <c r="D43" i="17"/>
  <c r="A43" i="17"/>
  <c r="D42" i="17"/>
  <c r="A42" i="17"/>
  <c r="D41" i="17"/>
  <c r="A41" i="17"/>
  <c r="D40" i="17"/>
  <c r="A40" i="17"/>
  <c r="D39" i="17"/>
  <c r="A39" i="17"/>
  <c r="D38" i="17"/>
  <c r="A38" i="17"/>
  <c r="D37" i="17"/>
  <c r="A37" i="17"/>
  <c r="D36" i="17"/>
  <c r="A36" i="17"/>
  <c r="D35" i="17"/>
  <c r="A35" i="17"/>
  <c r="D34" i="17"/>
  <c r="A34" i="17"/>
  <c r="D33" i="17"/>
  <c r="A33" i="17"/>
  <c r="D32" i="17"/>
  <c r="A32" i="17"/>
  <c r="D31" i="17"/>
  <c r="A31" i="17"/>
  <c r="D30" i="17"/>
  <c r="A30" i="17"/>
  <c r="D29" i="17"/>
  <c r="A29" i="17"/>
  <c r="D28" i="17"/>
  <c r="A28" i="17"/>
  <c r="D27" i="17"/>
  <c r="A27" i="17"/>
  <c r="D26" i="17"/>
  <c r="A26" i="17"/>
  <c r="D25" i="17"/>
  <c r="A25" i="17"/>
  <c r="D24" i="17"/>
  <c r="A24" i="17"/>
  <c r="D23" i="17"/>
  <c r="A23" i="17"/>
  <c r="D22" i="17"/>
  <c r="A22" i="17"/>
  <c r="D21" i="17"/>
  <c r="A21" i="17"/>
  <c r="D20" i="17"/>
  <c r="A20" i="17"/>
  <c r="D19" i="17"/>
  <c r="A19" i="17"/>
  <c r="D18" i="17"/>
  <c r="A18" i="17"/>
  <c r="D17" i="17"/>
  <c r="A17" i="17"/>
  <c r="D16" i="17"/>
  <c r="A16" i="17"/>
  <c r="D15" i="17"/>
  <c r="A15" i="17"/>
  <c r="D14" i="17"/>
  <c r="A14" i="17"/>
  <c r="D13" i="17"/>
  <c r="A13" i="17"/>
  <c r="D12" i="17"/>
  <c r="A12" i="17"/>
  <c r="D11" i="17"/>
  <c r="A11" i="17"/>
  <c r="D10" i="17"/>
  <c r="A10" i="17"/>
  <c r="D9" i="17"/>
  <c r="A9" i="17"/>
  <c r="D8" i="17"/>
  <c r="A8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C6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AI4" i="17"/>
  <c r="I22" i="16"/>
  <c r="H22" i="16"/>
  <c r="G22" i="16"/>
  <c r="F22" i="16"/>
  <c r="A22" i="16"/>
  <c r="I21" i="16"/>
  <c r="H21" i="16"/>
  <c r="G21" i="16"/>
  <c r="F21" i="16"/>
  <c r="A21" i="16"/>
  <c r="I20" i="16"/>
  <c r="H20" i="16"/>
  <c r="G20" i="16"/>
  <c r="F20" i="16"/>
  <c r="I19" i="16"/>
  <c r="H19" i="16"/>
  <c r="G19" i="16"/>
  <c r="F19" i="16"/>
  <c r="A19" i="16"/>
  <c r="I18" i="16"/>
  <c r="H18" i="16"/>
  <c r="G18" i="16"/>
  <c r="F18" i="16"/>
  <c r="A18" i="16"/>
  <c r="I17" i="16"/>
  <c r="H17" i="16"/>
  <c r="G17" i="16"/>
  <c r="F17" i="16"/>
  <c r="A17" i="16"/>
  <c r="I16" i="16"/>
  <c r="H16" i="16"/>
  <c r="G16" i="16"/>
  <c r="F16" i="16"/>
  <c r="A16" i="16"/>
  <c r="I15" i="16"/>
  <c r="H15" i="16"/>
  <c r="G15" i="16"/>
  <c r="F15" i="16"/>
  <c r="I14" i="16"/>
  <c r="H14" i="16"/>
  <c r="G14" i="16"/>
  <c r="F14" i="16"/>
  <c r="A14" i="16"/>
  <c r="I13" i="16"/>
  <c r="H13" i="16"/>
  <c r="G13" i="16"/>
  <c r="F13" i="16"/>
  <c r="A13" i="16"/>
  <c r="I12" i="16"/>
  <c r="H12" i="16"/>
  <c r="G12" i="16"/>
  <c r="F12" i="16"/>
  <c r="A12" i="16"/>
  <c r="I11" i="16"/>
  <c r="H11" i="16"/>
  <c r="G11" i="16"/>
  <c r="F11" i="16"/>
  <c r="A11" i="16"/>
  <c r="I10" i="16"/>
  <c r="H10" i="16"/>
  <c r="G10" i="16"/>
  <c r="F10" i="16"/>
  <c r="J8" i="16"/>
  <c r="I8" i="16"/>
  <c r="H8" i="16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A106" i="1"/>
  <c r="D105" i="1"/>
  <c r="A105" i="1"/>
  <c r="D104" i="1"/>
  <c r="A104" i="1"/>
  <c r="D103" i="1"/>
  <c r="A103" i="1"/>
  <c r="D102" i="1"/>
  <c r="A102" i="1"/>
  <c r="D101" i="1"/>
  <c r="A101" i="1"/>
  <c r="D100" i="1"/>
  <c r="A100" i="1"/>
  <c r="D99" i="1"/>
  <c r="A99" i="1"/>
  <c r="D98" i="1"/>
  <c r="A98" i="1"/>
  <c r="D97" i="1"/>
  <c r="A97" i="1"/>
  <c r="D96" i="1"/>
  <c r="A96" i="1"/>
  <c r="D95" i="1"/>
  <c r="A95" i="1"/>
  <c r="D94" i="1"/>
  <c r="A94" i="1"/>
  <c r="D93" i="1"/>
  <c r="A93" i="1"/>
  <c r="D92" i="1"/>
  <c r="A92" i="1"/>
  <c r="D91" i="1"/>
  <c r="A91" i="1"/>
  <c r="D90" i="1"/>
  <c r="A90" i="1"/>
  <c r="D89" i="1"/>
  <c r="A89" i="1"/>
  <c r="D88" i="1"/>
  <c r="A88" i="1"/>
  <c r="D87" i="1"/>
  <c r="A87" i="1"/>
  <c r="D86" i="1"/>
  <c r="A86" i="1"/>
  <c r="D85" i="1"/>
  <c r="A85" i="1"/>
  <c r="D84" i="1"/>
  <c r="A84" i="1"/>
  <c r="D83" i="1"/>
  <c r="A83" i="1"/>
  <c r="D82" i="1"/>
  <c r="A82" i="1"/>
  <c r="D81" i="1"/>
  <c r="A81" i="1"/>
  <c r="D80" i="1"/>
  <c r="A80" i="1"/>
  <c r="D79" i="1"/>
  <c r="A79" i="1"/>
  <c r="D78" i="1"/>
  <c r="A78" i="1"/>
  <c r="D77" i="1"/>
  <c r="A77" i="1"/>
  <c r="D76" i="1"/>
  <c r="A76" i="1"/>
  <c r="D75" i="1"/>
  <c r="A75" i="1"/>
  <c r="D74" i="1"/>
  <c r="A74" i="1"/>
  <c r="D73" i="1"/>
  <c r="A73" i="1"/>
  <c r="D72" i="1"/>
  <c r="A72" i="1"/>
  <c r="D71" i="1"/>
  <c r="A71" i="1"/>
  <c r="D70" i="1"/>
  <c r="A70" i="1"/>
  <c r="D69" i="1"/>
  <c r="A69" i="1"/>
  <c r="D68" i="1"/>
  <c r="A68" i="1"/>
  <c r="D67" i="1"/>
  <c r="A67" i="1"/>
  <c r="D66" i="1"/>
  <c r="A66" i="1"/>
  <c r="D65" i="1"/>
  <c r="A65" i="1"/>
  <c r="D64" i="1"/>
  <c r="A64" i="1"/>
  <c r="D63" i="1"/>
  <c r="A63" i="1"/>
  <c r="D62" i="1"/>
  <c r="A62" i="1"/>
  <c r="D61" i="1"/>
  <c r="A61" i="1"/>
  <c r="D60" i="1"/>
  <c r="A60" i="1"/>
  <c r="D59" i="1"/>
  <c r="A59" i="1"/>
  <c r="D58" i="1"/>
  <c r="A58" i="1"/>
  <c r="D57" i="1"/>
  <c r="A57" i="1"/>
  <c r="D56" i="1"/>
  <c r="A56" i="1"/>
  <c r="D55" i="1"/>
  <c r="A55" i="1"/>
  <c r="D54" i="1"/>
  <c r="A54" i="1"/>
  <c r="D53" i="1"/>
  <c r="A53" i="1"/>
  <c r="D52" i="1"/>
  <c r="A52" i="1"/>
  <c r="D51" i="1"/>
  <c r="A51" i="1"/>
  <c r="D50" i="1"/>
  <c r="A50" i="1"/>
  <c r="A49" i="1"/>
  <c r="D48" i="1"/>
  <c r="D47" i="1"/>
  <c r="A47" i="1"/>
  <c r="D46" i="1"/>
  <c r="A46" i="1"/>
  <c r="D45" i="1"/>
  <c r="A45" i="1"/>
  <c r="D44" i="1"/>
  <c r="A44" i="1"/>
  <c r="D43" i="1"/>
  <c r="A43" i="1"/>
  <c r="D42" i="1"/>
  <c r="A42" i="1"/>
  <c r="D41" i="1"/>
  <c r="A41" i="1"/>
  <c r="D40" i="1"/>
  <c r="A40" i="1"/>
  <c r="D39" i="1"/>
  <c r="A39" i="1"/>
  <c r="D38" i="1"/>
  <c r="A38" i="1"/>
  <c r="D37" i="1"/>
  <c r="A37" i="1"/>
  <c r="D36" i="1"/>
  <c r="A36" i="1"/>
  <c r="D35" i="1"/>
  <c r="A35" i="1"/>
  <c r="D34" i="1"/>
  <c r="A34" i="1"/>
  <c r="D33" i="1"/>
  <c r="A33" i="1"/>
  <c r="D32" i="1"/>
  <c r="A32" i="1"/>
  <c r="D31" i="1"/>
  <c r="A31" i="1"/>
  <c r="D30" i="1"/>
  <c r="A30" i="1"/>
  <c r="D29" i="1"/>
  <c r="A29" i="1"/>
  <c r="D28" i="1"/>
  <c r="A28" i="1"/>
  <c r="D27" i="1"/>
  <c r="A27" i="1"/>
  <c r="D26" i="1"/>
  <c r="A26" i="1"/>
  <c r="D25" i="1"/>
  <c r="A25" i="1"/>
  <c r="D24" i="1"/>
  <c r="A24" i="1"/>
  <c r="D23" i="1"/>
  <c r="A23" i="1"/>
  <c r="D22" i="1"/>
  <c r="A22" i="1"/>
  <c r="D21" i="1"/>
  <c r="A21" i="1"/>
  <c r="D20" i="1"/>
  <c r="A20" i="1"/>
  <c r="D19" i="1"/>
  <c r="A19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A7" i="1"/>
</calcChain>
</file>

<file path=xl/sharedStrings.xml><?xml version="1.0" encoding="utf-8"?>
<sst xmlns="http://schemas.openxmlformats.org/spreadsheetml/2006/main" count="414" uniqueCount="381">
  <si>
    <t>Zero</t>
  </si>
  <si>
    <t>Zero One</t>
  </si>
  <si>
    <t xml:space="preserve">One </t>
  </si>
  <si>
    <t>Zero Two</t>
  </si>
  <si>
    <t>Two</t>
  </si>
  <si>
    <t>Zero Three</t>
  </si>
  <si>
    <t>Three</t>
  </si>
  <si>
    <t>Zero Four</t>
  </si>
  <si>
    <t>Four</t>
  </si>
  <si>
    <t>Zero Five</t>
  </si>
  <si>
    <t>Five</t>
  </si>
  <si>
    <t>Zero Six</t>
  </si>
  <si>
    <t>Six</t>
  </si>
  <si>
    <t>Zero Seven</t>
  </si>
  <si>
    <t>Seven</t>
  </si>
  <si>
    <t>Zero Eight</t>
  </si>
  <si>
    <t>Eight</t>
  </si>
  <si>
    <t>Zero Nine</t>
  </si>
  <si>
    <t>Nine</t>
  </si>
  <si>
    <t>One Zero</t>
  </si>
  <si>
    <t>Ten</t>
  </si>
  <si>
    <t>One One</t>
  </si>
  <si>
    <t>Eleven</t>
  </si>
  <si>
    <t>One Two</t>
  </si>
  <si>
    <t>Twelve</t>
  </si>
  <si>
    <t>One Three</t>
  </si>
  <si>
    <t>Thirteen</t>
  </si>
  <si>
    <t>One Four</t>
  </si>
  <si>
    <t>Fourteen</t>
  </si>
  <si>
    <t>One Five</t>
  </si>
  <si>
    <t>Fifteen</t>
  </si>
  <si>
    <t>One Six</t>
  </si>
  <si>
    <t>Sixteen</t>
  </si>
  <si>
    <t>One Seven</t>
  </si>
  <si>
    <t>Seventeen</t>
  </si>
  <si>
    <t>One Eight</t>
  </si>
  <si>
    <t>Eighteen</t>
  </si>
  <si>
    <t>One Nine</t>
  </si>
  <si>
    <t>Ninteen</t>
  </si>
  <si>
    <t>Two Zero</t>
  </si>
  <si>
    <t>Twenty</t>
  </si>
  <si>
    <t>Two One</t>
  </si>
  <si>
    <t>Twenty One</t>
  </si>
  <si>
    <t>Two Two</t>
  </si>
  <si>
    <t>Twenty Two</t>
  </si>
  <si>
    <t>Two Three</t>
  </si>
  <si>
    <t>Twenty Three</t>
  </si>
  <si>
    <t>Two Four</t>
  </si>
  <si>
    <t>Twenty Four</t>
  </si>
  <si>
    <t>Two Five</t>
  </si>
  <si>
    <t>Twenty Five</t>
  </si>
  <si>
    <t>Two Six</t>
  </si>
  <si>
    <t>Twenty Six</t>
  </si>
  <si>
    <t>Two Seven</t>
  </si>
  <si>
    <t>Twenty Seven</t>
  </si>
  <si>
    <t>Two Eight</t>
  </si>
  <si>
    <t>Twenty Eight</t>
  </si>
  <si>
    <t>Two Nine</t>
  </si>
  <si>
    <t>Twenty Nine</t>
  </si>
  <si>
    <t>Three Zero</t>
  </si>
  <si>
    <t>Thirty</t>
  </si>
  <si>
    <t>Three One</t>
  </si>
  <si>
    <t>Thirty One</t>
  </si>
  <si>
    <t>Three Two</t>
  </si>
  <si>
    <t>Thirty Two</t>
  </si>
  <si>
    <t>Three Three</t>
  </si>
  <si>
    <t>Thirty Three</t>
  </si>
  <si>
    <t>Three Four</t>
  </si>
  <si>
    <t>Thirty Four</t>
  </si>
  <si>
    <t>Three Five</t>
  </si>
  <si>
    <t>Thirty Five</t>
  </si>
  <si>
    <t>Three Six</t>
  </si>
  <si>
    <t>Thirty Six</t>
  </si>
  <si>
    <t>Three Seven</t>
  </si>
  <si>
    <t>Thirty Seven</t>
  </si>
  <si>
    <t>Three Eight</t>
  </si>
  <si>
    <t>Thirty Eight</t>
  </si>
  <si>
    <t>Three Nine</t>
  </si>
  <si>
    <t>Thirty Nine</t>
  </si>
  <si>
    <t>Four Zero</t>
  </si>
  <si>
    <t>Fourty</t>
  </si>
  <si>
    <t>Four One</t>
  </si>
  <si>
    <t>Fourty One</t>
  </si>
  <si>
    <t>Fourty Two</t>
  </si>
  <si>
    <t>Four Two</t>
  </si>
  <si>
    <t>Four Three</t>
  </si>
  <si>
    <t>Fourty Three</t>
  </si>
  <si>
    <t>Four Four</t>
  </si>
  <si>
    <t>Fourty Four</t>
  </si>
  <si>
    <t>Four Five</t>
  </si>
  <si>
    <t>Fourty Five</t>
  </si>
  <si>
    <t>Four Six</t>
  </si>
  <si>
    <t>Fourty Six</t>
  </si>
  <si>
    <t>Four Seven</t>
  </si>
  <si>
    <t>Fourty Seven</t>
  </si>
  <si>
    <t>Four Eight</t>
  </si>
  <si>
    <t>Fourty Eight</t>
  </si>
  <si>
    <t>Four Nine</t>
  </si>
  <si>
    <t>Fourty Nine</t>
  </si>
  <si>
    <t>Five Zero</t>
  </si>
  <si>
    <t>Fifty</t>
  </si>
  <si>
    <t>Five One</t>
  </si>
  <si>
    <t>Fifty One</t>
  </si>
  <si>
    <t>Five Two</t>
  </si>
  <si>
    <t>Fifty Two</t>
  </si>
  <si>
    <t>Five Three</t>
  </si>
  <si>
    <t>Fifty Three</t>
  </si>
  <si>
    <t>Five Four</t>
  </si>
  <si>
    <t>Fifty Four</t>
  </si>
  <si>
    <t>Five Five</t>
  </si>
  <si>
    <t>Fifty Five</t>
  </si>
  <si>
    <t>Five Six</t>
  </si>
  <si>
    <t>Fifty Six</t>
  </si>
  <si>
    <t>Five Seven</t>
  </si>
  <si>
    <t>Fifty Seven</t>
  </si>
  <si>
    <t>Five Eight</t>
  </si>
  <si>
    <t>Fifty Eight</t>
  </si>
  <si>
    <t>Five Nine</t>
  </si>
  <si>
    <t>Fifty Nine</t>
  </si>
  <si>
    <t>Six Zero</t>
  </si>
  <si>
    <t>Sixty</t>
  </si>
  <si>
    <t>Six One</t>
  </si>
  <si>
    <t>Sixty One</t>
  </si>
  <si>
    <t>Six Two</t>
  </si>
  <si>
    <t>Sixty Two</t>
  </si>
  <si>
    <t>Six Three</t>
  </si>
  <si>
    <t>Sixty Three</t>
  </si>
  <si>
    <t>Six Four</t>
  </si>
  <si>
    <t>Sixty Four</t>
  </si>
  <si>
    <t>Six Five</t>
  </si>
  <si>
    <t>Sixty Five</t>
  </si>
  <si>
    <t>Six Six</t>
  </si>
  <si>
    <t>Sixty Six</t>
  </si>
  <si>
    <t>Six Seven</t>
  </si>
  <si>
    <t>Sixty Seven</t>
  </si>
  <si>
    <t>Six Eight</t>
  </si>
  <si>
    <t>Sixty Eight</t>
  </si>
  <si>
    <t>Six Nine</t>
  </si>
  <si>
    <t>Sixty Nine</t>
  </si>
  <si>
    <t>Seven Zero</t>
  </si>
  <si>
    <t>Seventy</t>
  </si>
  <si>
    <t>Seven One</t>
  </si>
  <si>
    <t>Seventy One</t>
  </si>
  <si>
    <t>Seven Two</t>
  </si>
  <si>
    <t>Seventy Two</t>
  </si>
  <si>
    <t>Seven Three</t>
  </si>
  <si>
    <t>Seventy Three</t>
  </si>
  <si>
    <t>Seven Four</t>
  </si>
  <si>
    <t>Seventy Four</t>
  </si>
  <si>
    <t>Seven Five</t>
  </si>
  <si>
    <t>Seventy Five</t>
  </si>
  <si>
    <t>Seven Six</t>
  </si>
  <si>
    <t>Seventy Six</t>
  </si>
  <si>
    <t>Seven Seven</t>
  </si>
  <si>
    <t>Seventy Seven</t>
  </si>
  <si>
    <t>Seven Eight</t>
  </si>
  <si>
    <t>Seventy Eight</t>
  </si>
  <si>
    <t>Seven Nine</t>
  </si>
  <si>
    <t>Seventy Nine</t>
  </si>
  <si>
    <t>Eight Zero</t>
  </si>
  <si>
    <t>Eighty</t>
  </si>
  <si>
    <t>Eight One</t>
  </si>
  <si>
    <t>Eighty One</t>
  </si>
  <si>
    <t>Eight Two</t>
  </si>
  <si>
    <t>Eighty Two</t>
  </si>
  <si>
    <t>Eight Three</t>
  </si>
  <si>
    <t>Eighty Three</t>
  </si>
  <si>
    <t>Eight Four</t>
  </si>
  <si>
    <t>Eighty Four</t>
  </si>
  <si>
    <t>Eight Five</t>
  </si>
  <si>
    <t>Eighty Five</t>
  </si>
  <si>
    <t>Eight Six</t>
  </si>
  <si>
    <t>Eighty Six</t>
  </si>
  <si>
    <t>Eight Seven</t>
  </si>
  <si>
    <t>Eighty Seven</t>
  </si>
  <si>
    <t>Eight Eight</t>
  </si>
  <si>
    <t>Eighty Eight</t>
  </si>
  <si>
    <t>Eight Nine</t>
  </si>
  <si>
    <t>Eighty Nine</t>
  </si>
  <si>
    <t>Nine Zero</t>
  </si>
  <si>
    <t>Ninty</t>
  </si>
  <si>
    <t>Nine One</t>
  </si>
  <si>
    <t>Ninty One</t>
  </si>
  <si>
    <t>Nine Two</t>
  </si>
  <si>
    <t>Ninty Two</t>
  </si>
  <si>
    <t>Nine Three</t>
  </si>
  <si>
    <t>Ninty Three</t>
  </si>
  <si>
    <t>Nine Four</t>
  </si>
  <si>
    <t>Ninty Four</t>
  </si>
  <si>
    <t>Nine Five</t>
  </si>
  <si>
    <t>Ninty Five</t>
  </si>
  <si>
    <t>Nine Six</t>
  </si>
  <si>
    <t>Ninty Six</t>
  </si>
  <si>
    <t>Nine Seven</t>
  </si>
  <si>
    <t>Ninty Seven</t>
  </si>
  <si>
    <t>Nine Eight</t>
  </si>
  <si>
    <t>Ninty Eight</t>
  </si>
  <si>
    <t>Nine Nine</t>
  </si>
  <si>
    <t>Ninty Nine</t>
  </si>
  <si>
    <t>One Hundred</t>
  </si>
  <si>
    <t>One Hundred &amp; One</t>
  </si>
  <si>
    <t>One Hundred &amp; Two</t>
  </si>
  <si>
    <t>One Hundred &amp; Three</t>
  </si>
  <si>
    <t>One Hundred &amp; Four</t>
  </si>
  <si>
    <t>One Hundred &amp; Five</t>
  </si>
  <si>
    <t>One Hundred &amp; Six</t>
  </si>
  <si>
    <t>One Hundred &amp; Seven</t>
  </si>
  <si>
    <t>One Hundred &amp; Eight</t>
  </si>
  <si>
    <t>One Hundred &amp; Nine</t>
  </si>
  <si>
    <t>One Hundred &amp; Ten</t>
  </si>
  <si>
    <t>One Hundred &amp; Eleven</t>
  </si>
  <si>
    <t>One Hundred &amp; Twelve</t>
  </si>
  <si>
    <t>One Hundred &amp; Thirteen</t>
  </si>
  <si>
    <t>One Hundred &amp; Fourteen</t>
  </si>
  <si>
    <t>One Hundred &amp; Fifteen</t>
  </si>
  <si>
    <t>One Hundred &amp; Sixteen</t>
  </si>
  <si>
    <t>One Hundred &amp; Seventeen</t>
  </si>
  <si>
    <t>One Hundred &amp; Eighteen</t>
  </si>
  <si>
    <t>One Hundred &amp; Nineteen</t>
  </si>
  <si>
    <t>One Hundred &amp; Twenty</t>
  </si>
  <si>
    <t>One Hundred &amp; Twenty One</t>
  </si>
  <si>
    <t>One Hundred &amp; Twenty Two</t>
  </si>
  <si>
    <t>One Hundred &amp; Twenty Three</t>
  </si>
  <si>
    <t>One Hundred &amp; Twenty Four</t>
  </si>
  <si>
    <t>One Hundred &amp; Twenty Five</t>
  </si>
  <si>
    <t>One Hundred &amp; Twenty Six</t>
  </si>
  <si>
    <t>One Hundred &amp; Twenty Seven</t>
  </si>
  <si>
    <t>One Hundred &amp; Twenty Eight</t>
  </si>
  <si>
    <t>One Hundred &amp; Twenty Nine</t>
  </si>
  <si>
    <t>One Hundred &amp; Thirty</t>
  </si>
  <si>
    <t>One Hundred &amp; Thirty One</t>
  </si>
  <si>
    <t>One Hundred &amp; Thirty Two</t>
  </si>
  <si>
    <t>One Hundred &amp; Thirty Three</t>
  </si>
  <si>
    <t>One Hundred &amp; Thirty Four</t>
  </si>
  <si>
    <t>One Hundred &amp; Thirty Five</t>
  </si>
  <si>
    <t>One Hundred &amp; Thirty Six</t>
  </si>
  <si>
    <t>One Hundred &amp; Thirty Seven</t>
  </si>
  <si>
    <t>One Hundred &amp; Thirty Eight</t>
  </si>
  <si>
    <t>One Hundred &amp; Thirty Nine</t>
  </si>
  <si>
    <t>One Hundred &amp; Fourty</t>
  </si>
  <si>
    <t>One Hundred &amp; Fourty One</t>
  </si>
  <si>
    <t>One Hundred &amp; Fourty Two</t>
  </si>
  <si>
    <t>One Hundred &amp; Fourty Three</t>
  </si>
  <si>
    <t>One Hundred &amp; Fourty Four</t>
  </si>
  <si>
    <t>One Hundred &amp; Fourty Five</t>
  </si>
  <si>
    <t>One Hundred &amp; Fourty Six</t>
  </si>
  <si>
    <t>One Hundred &amp; Fourty Seven</t>
  </si>
  <si>
    <t>One Hundred &amp; Fourty Eight</t>
  </si>
  <si>
    <t>One Hundred &amp; Fourty Nine</t>
  </si>
  <si>
    <t>One Hundred &amp; Fifty</t>
  </si>
  <si>
    <t>%age</t>
  </si>
  <si>
    <t>GP</t>
  </si>
  <si>
    <t>العام والفصل الدراسي:</t>
  </si>
  <si>
    <t xml:space="preserve">الفصل الأول 1446 ه </t>
  </si>
  <si>
    <t>رمز المقرر واسمه:</t>
  </si>
  <si>
    <t>5116 قصد المحاسبة المالية</t>
  </si>
  <si>
    <t>رقم الشعبة:</t>
  </si>
  <si>
    <t>اسم عضو هيئة التدريس:</t>
  </si>
  <si>
    <t>المجال</t>
  </si>
  <si>
    <t>الرمز</t>
  </si>
  <si>
    <t>نواتج التعلم</t>
  </si>
  <si>
    <t>المستوى المستهدف</t>
  </si>
  <si>
    <t>المستوى الفعلي</t>
  </si>
  <si>
    <t>إحصائيات</t>
  </si>
  <si>
    <t>الطلبة المستهدف تحقيقهم للدرجة</t>
  </si>
  <si>
    <t>الدرجة المستهدف تحقيقها</t>
  </si>
  <si>
    <t>الطلبة الذين حققوا الدرجة المطلوبة</t>
  </si>
  <si>
    <t>هل تحقق المستهدف؟</t>
  </si>
  <si>
    <t>عناصر التقييم</t>
  </si>
  <si>
    <t>مجموع الدرجات</t>
  </si>
  <si>
    <t>عدد الطلبة</t>
  </si>
  <si>
    <t>المستوى المستهدف 1</t>
  </si>
  <si>
    <t>المستوى المستهدف 2</t>
  </si>
  <si>
    <t>عمود1</t>
  </si>
  <si>
    <t>عدد الأسئلة</t>
  </si>
  <si>
    <t>المعرفة</t>
  </si>
  <si>
    <t>معرفة المحاسبة ومجالاتها ودروها الاقتصادي</t>
  </si>
  <si>
    <t>معرفة كيف يتم العمل المحاسبي في كل من المحاسبة المالية والحكومية والوطنية ومحاسة التكاليف</t>
  </si>
  <si>
    <t>معرفة كيفية إعداد القوائم المالية وقراءتها وتحليلها واستخلاص المعلومات منها</t>
  </si>
  <si>
    <t>المهارات</t>
  </si>
  <si>
    <t>القدرة على العمل في المجال المحاسبي</t>
  </si>
  <si>
    <t>القدرة على تحليل وقراءة القوائم المالية</t>
  </si>
  <si>
    <t>الربط بين المحاسبة والاقتصاد</t>
  </si>
  <si>
    <t>القيم</t>
  </si>
  <si>
    <t>المشاركة مع الطلاب في المناقشات والواجبات الجماعية</t>
  </si>
  <si>
    <t>أن يعتمد الطالب على الذات في تحصيل العلم والقيام بالواجبات الفردية المطلوبة</t>
  </si>
  <si>
    <t>عنصر التقييم</t>
  </si>
  <si>
    <t>اختبار فصلي 1</t>
  </si>
  <si>
    <t>اختبار فصلي 2</t>
  </si>
  <si>
    <t>الواجبات</t>
  </si>
  <si>
    <t>الاختبار النهائي</t>
  </si>
  <si>
    <t>رقم السؤال</t>
  </si>
  <si>
    <t>س1</t>
  </si>
  <si>
    <t>س2</t>
  </si>
  <si>
    <t>س3</t>
  </si>
  <si>
    <t>س4</t>
  </si>
  <si>
    <t>رمز الناتج</t>
  </si>
  <si>
    <t>درجة السؤال</t>
  </si>
  <si>
    <t>ناتج التعلم</t>
  </si>
  <si>
    <t>عدد</t>
  </si>
  <si>
    <t>الرقم الجامعي</t>
  </si>
  <si>
    <t>الاسم</t>
  </si>
  <si>
    <t>المجموع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</si>
  <si>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</si>
  <si>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</si>
  <si>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</si>
  <si>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</si>
  <si>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</si>
  <si>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</si>
  <si>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</si>
  <si>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</si>
  <si>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</si>
  <si>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</si>
  <si>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</si>
  <si>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</si>
  <si>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</si>
  <si>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</si>
  <si>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</si>
  <si>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</si>
  <si>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</si>
  <si>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</si>
  <si>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</si>
  <si>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</si>
  <si>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</si>
  <si>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</si>
  <si>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</si>
  <si>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</si>
  <si>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</si>
  <si>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</si>
  <si>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</si>
  <si>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</si>
  <si>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</si>
  <si>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</si>
  <si>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عزيز أنصاري</t>
  </si>
  <si>
    <t xml:space="preserve">أكبر علمشاح </t>
  </si>
  <si>
    <t>محمد فائز الرشيد</t>
  </si>
  <si>
    <t>محمد فتحون مذكر</t>
  </si>
  <si>
    <t xml:space="preserve">إبراهيم باه </t>
  </si>
  <si>
    <t>عبداللطيف محمد أمين</t>
  </si>
  <si>
    <t>خالد الحربي</t>
  </si>
  <si>
    <t>عبد الحكيم عبد الرحمن</t>
  </si>
  <si>
    <t>محمد محبوب حسين</t>
  </si>
  <si>
    <t>محمد ريزا الغفاري</t>
  </si>
  <si>
    <t>سليمان حنيف</t>
  </si>
  <si>
    <t>النفيدي محمد عثمان</t>
  </si>
  <si>
    <t>زبير عبدالسميع</t>
  </si>
  <si>
    <t>سهيل محمد مجددي</t>
  </si>
  <si>
    <t>أحمد رادباده</t>
  </si>
  <si>
    <t xml:space="preserve">محمد شفان </t>
  </si>
  <si>
    <t>سالم الهاجري</t>
  </si>
  <si>
    <t>سلمان المطيري</t>
  </si>
  <si>
    <t>علي الشنقيطي</t>
  </si>
  <si>
    <t>مسعود الرحمن</t>
  </si>
  <si>
    <t>مدثر محمد</t>
  </si>
  <si>
    <t>أبوبكر الماحي</t>
  </si>
  <si>
    <t xml:space="preserve">أبوكر عبدالمجيد </t>
  </si>
  <si>
    <t>رمز ناتج التعلم</t>
  </si>
  <si>
    <t>تاريخ النسخة</t>
  </si>
  <si>
    <t>عدد عناصر التقييم المرتبطة</t>
  </si>
  <si>
    <t>الدرجة المقدرة لكل ناتج</t>
  </si>
  <si>
    <t xml:space="preserve"> </t>
  </si>
  <si>
    <t>مؤشر الدرجة</t>
  </si>
  <si>
    <t>متوسط درجات الطلبة</t>
  </si>
  <si>
    <t>مؤشر الطلبة</t>
  </si>
  <si>
    <t>الطلبة الذين حققوا المستهدف</t>
  </si>
  <si>
    <t>الطلبة الذين لم يحققوا المستهدف</t>
  </si>
  <si>
    <t>التقدير</t>
  </si>
  <si>
    <t>اسم الطالب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</si>
  <si>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</si>
  <si>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</si>
  <si>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</si>
  <si>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</si>
  <si>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</si>
  <si>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</si>
  <si>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</si>
  <si>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</si>
  <si>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</si>
  <si>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2.5</t>
  </si>
  <si>
    <t>3.1</t>
  </si>
  <si>
    <t>3.2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</si>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</sst>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"/>
    <numFmt numFmtId="167" formatCode="0.0%"/>
    <numFmt numFmtId="168" formatCode=";;;"/>
    <numFmt numFmtId="169" formatCode="[$-1970000]bb\2yyyy/m/d;@"/>
  </numFmts>
  <fonts count="12">
    <font>
      <sz val="10"/>
      <name val="Arial"/>
      <charset val="134"/>
    </font>
    <font>
      <sz val="12"/>
      <name val="Calibri"/>
      <charset val="134"/>
    </font>
    <font>
      <b/>
      <sz val="12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2"/>
      <color theme="7" tint="-0.249977111117893"/>
      <name val="Calibri"/>
      <charset val="134"/>
    </font>
    <font>
      <sz val="12"/>
      <name val="Calibri"/>
      <charset val="134"/>
    </font>
    <font>
      <b/>
      <sz val="12"/>
      <color theme="3"/>
      <name val="Calibri"/>
      <charset val="134"/>
    </font>
    <font>
      <b/>
      <sz val="11"/>
      <name val="Calibri"/>
      <charset val="134"/>
    </font>
    <font>
      <sz val="10"/>
      <name val="Arial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0" borderId="0"/>
  </cellStyleXfs>
  <cellXfs count="136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top" textRotation="90" wrapText="1" readingOrder="2"/>
    </xf>
    <xf numFmtId="0" fontId="2" fillId="3" borderId="4" xfId="0" applyFont="1" applyFill="1" applyBorder="1" applyAlignment="1">
      <alignment horizontal="center" vertical="center" readingOrder="2"/>
    </xf>
    <xf numFmtId="9" fontId="2" fillId="5" borderId="4" xfId="1" applyFont="1" applyFill="1" applyBorder="1" applyAlignment="1" applyProtection="1">
      <alignment horizontal="center" vertical="center" readingOrder="2"/>
    </xf>
    <xf numFmtId="166" fontId="1" fillId="5" borderId="4" xfId="5" applyNumberFormat="1" applyFont="1" applyFill="1" applyBorder="1" applyAlignment="1" applyProtection="1">
      <alignment horizontal="center" vertical="center" readingOrder="2"/>
    </xf>
    <xf numFmtId="166" fontId="1" fillId="7" borderId="4" xfId="0" applyNumberFormat="1" applyFont="1" applyFill="1" applyBorder="1" applyAlignment="1">
      <alignment horizontal="center" vertical="center" readingOrder="2"/>
    </xf>
    <xf numFmtId="167" fontId="1" fillId="7" borderId="4" xfId="1" applyNumberFormat="1" applyFont="1" applyFill="1" applyBorder="1" applyAlignment="1" applyProtection="1">
      <alignment horizontal="center" vertical="center" readingOrder="2"/>
    </xf>
    <xf numFmtId="0" fontId="1" fillId="5" borderId="4" xfId="5" applyFont="1" applyFill="1" applyBorder="1" applyAlignment="1" applyProtection="1">
      <alignment horizontal="center" vertical="center" readingOrder="2"/>
    </xf>
    <xf numFmtId="1" fontId="1" fillId="9" borderId="4" xfId="3" applyNumberFormat="1" applyFont="1" applyFill="1" applyBorder="1" applyAlignment="1" applyProtection="1">
      <alignment horizontal="center" vertical="center" readingOrder="2"/>
    </xf>
    <xf numFmtId="167" fontId="2" fillId="9" borderId="4" xfId="1" applyNumberFormat="1" applyFont="1" applyFill="1" applyBorder="1" applyAlignment="1" applyProtection="1">
      <alignment horizontal="center" vertical="center" readingOrder="2"/>
    </xf>
    <xf numFmtId="1" fontId="1" fillId="11" borderId="4" xfId="2" applyNumberFormat="1" applyFont="1" applyFill="1" applyBorder="1" applyAlignment="1" applyProtection="1">
      <alignment horizontal="center" vertical="center" readingOrder="2"/>
    </xf>
    <xf numFmtId="167" fontId="1" fillId="11" borderId="4" xfId="1" applyNumberFormat="1" applyFont="1" applyFill="1" applyBorder="1" applyAlignment="1" applyProtection="1">
      <alignment horizontal="center" vertical="center" readingOrder="2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readingOrder="2"/>
    </xf>
    <xf numFmtId="168" fontId="2" fillId="0" borderId="9" xfId="0" applyNumberFormat="1" applyFont="1" applyBorder="1" applyAlignment="1">
      <alignment horizontal="center" vertical="center" readingOrder="2"/>
    </xf>
    <xf numFmtId="168" fontId="2" fillId="0" borderId="6" xfId="0" applyNumberFormat="1" applyFont="1" applyBorder="1" applyAlignment="1">
      <alignment horizontal="center" vertical="center" readingOrder="2"/>
    </xf>
    <xf numFmtId="168" fontId="2" fillId="0" borderId="6" xfId="0" applyNumberFormat="1" applyFont="1" applyBorder="1" applyAlignment="1">
      <alignment horizontal="center" vertical="center" wrapText="1" readingOrder="2"/>
    </xf>
    <xf numFmtId="168" fontId="2" fillId="0" borderId="4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readingOrder="2"/>
    </xf>
    <xf numFmtId="0" fontId="3" fillId="3" borderId="11" xfId="0" applyFont="1" applyFill="1" applyBorder="1" applyAlignment="1">
      <alignment horizontal="center" vertical="center" readingOrder="2"/>
    </xf>
    <xf numFmtId="169" fontId="3" fillId="3" borderId="12" xfId="0" applyNumberFormat="1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 vertical="center" wrapText="1" readingOrder="2"/>
    </xf>
    <xf numFmtId="9" fontId="1" fillId="0" borderId="0" xfId="1" applyFont="1" applyAlignment="1" applyProtection="1">
      <alignment horizontal="center" vertical="center" readingOrder="2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5" borderId="10" xfId="0" applyFont="1" applyFill="1" applyBorder="1" applyAlignment="1">
      <alignment horizontal="center" vertical="center" wrapText="1" readingOrder="2"/>
    </xf>
    <xf numFmtId="168" fontId="2" fillId="0" borderId="10" xfId="0" applyNumberFormat="1" applyFont="1" applyBorder="1" applyAlignment="1">
      <alignment horizontal="center" vertical="center" wrapText="1" readingOrder="2"/>
    </xf>
    <xf numFmtId="168" fontId="2" fillId="0" borderId="6" xfId="5" applyNumberFormat="1" applyFont="1" applyFill="1" applyBorder="1" applyAlignment="1" applyProtection="1">
      <alignment horizontal="center" vertical="center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3" borderId="4" xfId="0" applyFont="1" applyFill="1" applyBorder="1" applyAlignment="1" applyProtection="1">
      <alignment horizontal="centerContinuous" vertical="center" shrinkToFit="1" readingOrder="2"/>
      <protection locked="0"/>
    </xf>
    <xf numFmtId="0" fontId="2" fillId="3" borderId="4" xfId="0" applyFont="1" applyFill="1" applyBorder="1" applyAlignment="1" applyProtection="1">
      <alignment horizontal="center" vertical="center" readingOrder="2"/>
      <protection locked="0"/>
    </xf>
    <xf numFmtId="0" fontId="2" fillId="12" borderId="2" xfId="0" applyFont="1" applyFill="1" applyBorder="1" applyAlignment="1">
      <alignment horizontal="center" vertical="center" readingOrder="2"/>
    </xf>
    <xf numFmtId="0" fontId="2" fillId="13" borderId="4" xfId="0" applyFont="1" applyFill="1" applyBorder="1" applyAlignment="1" applyProtection="1">
      <alignment horizontal="center" vertical="center"/>
      <protection locked="0"/>
    </xf>
    <xf numFmtId="0" fontId="2" fillId="13" borderId="4" xfId="0" applyFont="1" applyFill="1" applyBorder="1" applyAlignment="1" applyProtection="1">
      <alignment horizontal="center" vertical="center" readingOrder="2"/>
      <protection locked="0"/>
    </xf>
    <xf numFmtId="0" fontId="4" fillId="3" borderId="4" xfId="0" applyFont="1" applyFill="1" applyBorder="1" applyAlignment="1">
      <alignment horizontal="left" vertical="top" textRotation="90" wrapText="1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14" borderId="4" xfId="0" applyFont="1" applyFill="1" applyBorder="1" applyAlignment="1">
      <alignment horizontal="center" vertical="center" readingOrder="2"/>
    </xf>
    <xf numFmtId="0" fontId="5" fillId="15" borderId="4" xfId="0" applyFont="1" applyFill="1" applyBorder="1" applyAlignment="1">
      <alignment horizontal="center" vertical="center" readingOrder="2"/>
    </xf>
    <xf numFmtId="168" fontId="2" fillId="0" borderId="10" xfId="0" applyNumberFormat="1" applyFont="1" applyBorder="1" applyAlignment="1">
      <alignment horizontal="center" vertical="center" readingOrder="2"/>
    </xf>
    <xf numFmtId="168" fontId="2" fillId="0" borderId="9" xfId="0" applyNumberFormat="1" applyFont="1" applyBorder="1" applyAlignment="1">
      <alignment horizontal="center" vertical="center" wrapText="1" readingOrder="2"/>
    </xf>
    <xf numFmtId="168" fontId="2" fillId="0" borderId="6" xfId="4" applyNumberFormat="1" applyFont="1" applyFill="1" applyBorder="1" applyAlignment="1" applyProtection="1">
      <alignment horizontal="center" vertical="center" wrapText="1" readingOrder="2"/>
    </xf>
    <xf numFmtId="0" fontId="1" fillId="0" borderId="3" xfId="0" applyFont="1" applyBorder="1" applyAlignment="1">
      <alignment horizontal="center" vertical="center" readingOrder="2"/>
    </xf>
    <xf numFmtId="0" fontId="1" fillId="0" borderId="4" xfId="0" applyFont="1" applyBorder="1" applyAlignment="1" applyProtection="1">
      <alignment horizontal="center" vertical="center" readingOrder="2"/>
      <protection locked="0"/>
    </xf>
    <xf numFmtId="0" fontId="2" fillId="0" borderId="2" xfId="0" applyFont="1" applyBorder="1" applyAlignment="1" applyProtection="1">
      <alignment horizontal="center" vertical="center" readingOrder="2"/>
      <protection locked="0"/>
    </xf>
    <xf numFmtId="0" fontId="2" fillId="15" borderId="4" xfId="0" applyFont="1" applyFill="1" applyBorder="1" applyAlignment="1">
      <alignment horizontal="center" vertical="center" readingOrder="2"/>
    </xf>
    <xf numFmtId="166" fontId="6" fillId="0" borderId="13" xfId="0" applyNumberFormat="1" applyFont="1" applyBorder="1" applyAlignment="1" applyProtection="1">
      <alignment horizontal="center" vertical="center" readingOrder="2"/>
      <protection locked="0"/>
    </xf>
    <xf numFmtId="0" fontId="1" fillId="0" borderId="8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 applyProtection="1">
      <alignment horizontal="center" vertical="center" readingOrder="2"/>
      <protection locked="0"/>
    </xf>
    <xf numFmtId="0" fontId="7" fillId="15" borderId="4" xfId="0" applyFont="1" applyFill="1" applyBorder="1" applyAlignment="1">
      <alignment horizontal="center" vertical="center" readingOrder="2"/>
    </xf>
    <xf numFmtId="0" fontId="1" fillId="0" borderId="3" xfId="0" applyFont="1" applyBorder="1" applyAlignment="1" applyProtection="1">
      <alignment horizontal="center" vertical="center" readingOrder="2"/>
      <protection locked="0"/>
    </xf>
    <xf numFmtId="0" fontId="2" fillId="3" borderId="4" xfId="0" applyFont="1" applyFill="1" applyBorder="1" applyAlignment="1" applyProtection="1">
      <alignment horizontal="center" vertical="center" shrinkToFit="1" readingOrder="2"/>
      <protection locked="0"/>
    </xf>
    <xf numFmtId="0" fontId="1" fillId="0" borderId="13" xfId="0" applyFont="1" applyBorder="1" applyAlignment="1" applyProtection="1">
      <alignment horizontal="center" vertical="center" readingOrder="2"/>
      <protection locked="0"/>
    </xf>
    <xf numFmtId="0" fontId="2" fillId="13" borderId="2" xfId="0" applyFont="1" applyFill="1" applyBorder="1" applyAlignment="1" applyProtection="1">
      <alignment horizontal="center" vertical="center"/>
      <protection locked="0"/>
    </xf>
    <xf numFmtId="0" fontId="2" fillId="12" borderId="14" xfId="0" applyFont="1" applyFill="1" applyBorder="1" applyAlignment="1">
      <alignment horizontal="center" vertical="center" readingOrder="2"/>
    </xf>
    <xf numFmtId="0" fontId="2" fillId="13" borderId="2" xfId="0" applyFont="1" applyFill="1" applyBorder="1" applyAlignment="1" applyProtection="1">
      <alignment horizontal="center" vertical="center" readingOrder="2"/>
      <protection locked="0"/>
    </xf>
    <xf numFmtId="0" fontId="2" fillId="5" borderId="4" xfId="0" applyFont="1" applyFill="1" applyBorder="1" applyAlignment="1" applyProtection="1">
      <alignment horizontal="center" vertical="center" readingOrder="2"/>
      <protection locked="0"/>
    </xf>
    <xf numFmtId="0" fontId="4" fillId="2" borderId="4" xfId="0" applyFont="1" applyFill="1" applyBorder="1" applyAlignment="1">
      <alignment horizontal="center" vertical="center" shrinkToFit="1" readingOrder="2"/>
    </xf>
    <xf numFmtId="0" fontId="8" fillId="3" borderId="4" xfId="0" applyFont="1" applyFill="1" applyBorder="1" applyAlignment="1">
      <alignment horizontal="center" vertical="center" readingOrder="2"/>
    </xf>
    <xf numFmtId="168" fontId="2" fillId="0" borderId="5" xfId="0" applyNumberFormat="1" applyFont="1" applyBorder="1" applyAlignment="1">
      <alignment horizontal="center" vertical="center" wrapText="1" readingOrder="2"/>
    </xf>
    <xf numFmtId="168" fontId="8" fillId="0" borderId="6" xfId="0" applyNumberFormat="1" applyFont="1" applyBorder="1" applyAlignment="1">
      <alignment horizontal="center" vertical="center" wrapText="1" readingOrder="2"/>
    </xf>
    <xf numFmtId="0" fontId="2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right" vertical="center" shrinkToFit="1" readingOrder="2"/>
      <protection locked="0"/>
    </xf>
    <xf numFmtId="9" fontId="1" fillId="15" borderId="4" xfId="0" applyNumberFormat="1" applyFont="1" applyFill="1" applyBorder="1" applyAlignment="1" applyProtection="1">
      <alignment horizontal="center" vertical="center" shrinkToFit="1" readingOrder="2"/>
      <protection locked="0"/>
    </xf>
    <xf numFmtId="9" fontId="1" fillId="15" borderId="4" xfId="1" applyFont="1" applyFill="1" applyBorder="1" applyAlignment="1" applyProtection="1">
      <alignment horizontal="center" vertical="center" wrapText="1" readingOrder="2"/>
      <protection locked="0"/>
    </xf>
    <xf numFmtId="9" fontId="1" fillId="15" borderId="4" xfId="1" applyFont="1" applyFill="1" applyBorder="1" applyAlignment="1" applyProtection="1">
      <alignment horizontal="center" vertical="center" wrapText="1" readingOrder="2"/>
    </xf>
    <xf numFmtId="167" fontId="1" fillId="15" borderId="4" xfId="1" applyNumberFormat="1" applyFont="1" applyFill="1" applyBorder="1" applyAlignment="1" applyProtection="1">
      <alignment horizontal="center" vertical="center" wrapText="1" readingOrder="2"/>
    </xf>
    <xf numFmtId="0" fontId="1" fillId="15" borderId="4" xfId="0" applyFont="1" applyFill="1" applyBorder="1" applyAlignment="1">
      <alignment horizontal="center" vertical="center" readingOrder="2"/>
    </xf>
    <xf numFmtId="0" fontId="2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 applyProtection="1">
      <alignment horizontal="right" vertical="center" shrinkToFit="1" readingOrder="2"/>
      <protection locked="0"/>
    </xf>
    <xf numFmtId="9" fontId="1" fillId="9" borderId="4" xfId="0" applyNumberFormat="1" applyFont="1" applyFill="1" applyBorder="1" applyAlignment="1" applyProtection="1">
      <alignment horizontal="center" vertical="center" shrinkToFit="1" readingOrder="2"/>
      <protection locked="0"/>
    </xf>
    <xf numFmtId="9" fontId="1" fillId="9" borderId="4" xfId="1" applyFont="1" applyFill="1" applyBorder="1" applyAlignment="1" applyProtection="1">
      <alignment horizontal="center" vertical="center" wrapText="1" readingOrder="2"/>
      <protection locked="0"/>
    </xf>
    <xf numFmtId="9" fontId="1" fillId="9" borderId="4" xfId="1" applyFont="1" applyFill="1" applyBorder="1" applyAlignment="1" applyProtection="1">
      <alignment horizontal="center" vertical="center" wrapText="1" readingOrder="2"/>
    </xf>
    <xf numFmtId="167" fontId="1" fillId="9" borderId="4" xfId="1" applyNumberFormat="1" applyFont="1" applyFill="1" applyBorder="1" applyAlignment="1" applyProtection="1">
      <alignment horizontal="center" vertical="center" wrapText="1" readingOrder="2"/>
    </xf>
    <xf numFmtId="0" fontId="1" fillId="9" borderId="4" xfId="0" applyFont="1" applyFill="1" applyBorder="1" applyAlignment="1">
      <alignment horizontal="center" vertical="center" readingOrder="2"/>
    </xf>
    <xf numFmtId="0" fontId="2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 applyProtection="1">
      <alignment horizontal="right" vertical="center" shrinkToFit="1" readingOrder="2"/>
      <protection locked="0"/>
    </xf>
    <xf numFmtId="9" fontId="1" fillId="7" borderId="4" xfId="0" applyNumberFormat="1" applyFont="1" applyFill="1" applyBorder="1" applyAlignment="1" applyProtection="1">
      <alignment horizontal="center" vertical="center" shrinkToFit="1" readingOrder="2"/>
      <protection locked="0"/>
    </xf>
    <xf numFmtId="9" fontId="1" fillId="7" borderId="1" xfId="1" applyFont="1" applyFill="1" applyBorder="1" applyAlignment="1" applyProtection="1">
      <alignment horizontal="center" vertical="center" wrapText="1" readingOrder="2"/>
      <protection locked="0"/>
    </xf>
    <xf numFmtId="9" fontId="1" fillId="7" borderId="4" xfId="1" applyFont="1" applyFill="1" applyBorder="1" applyAlignment="1" applyProtection="1">
      <alignment horizontal="center" vertical="center" wrapText="1" readingOrder="2"/>
    </xf>
    <xf numFmtId="167" fontId="1" fillId="7" borderId="4" xfId="1" applyNumberFormat="1" applyFont="1" applyFill="1" applyBorder="1" applyAlignment="1" applyProtection="1">
      <alignment horizontal="center" vertical="center" wrapText="1" readingOrder="2"/>
    </xf>
    <xf numFmtId="0" fontId="1" fillId="7" borderId="4" xfId="0" applyFont="1" applyFill="1" applyBorder="1" applyAlignment="1">
      <alignment horizontal="center" vertical="center" readingOrder="2"/>
    </xf>
    <xf numFmtId="0" fontId="2" fillId="7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 applyProtection="1">
      <alignment horizontal="right" vertical="center" shrinkToFit="1" readingOrder="2"/>
      <protection locked="0"/>
    </xf>
    <xf numFmtId="9" fontId="1" fillId="7" borderId="1" xfId="0" applyNumberFormat="1" applyFont="1" applyFill="1" applyBorder="1" applyAlignment="1" applyProtection="1">
      <alignment horizontal="center" vertical="center" shrinkToFit="1" readingOrder="2"/>
      <protection locked="0"/>
    </xf>
    <xf numFmtId="9" fontId="1" fillId="7" borderId="1" xfId="1" applyFont="1" applyFill="1" applyBorder="1" applyAlignment="1" applyProtection="1">
      <alignment horizontal="center" vertical="center" wrapText="1" readingOrder="2"/>
    </xf>
    <xf numFmtId="167" fontId="1" fillId="7" borderId="1" xfId="1" applyNumberFormat="1" applyFont="1" applyFill="1" applyBorder="1" applyAlignment="1" applyProtection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 readingOrder="2"/>
    </xf>
    <xf numFmtId="0" fontId="1" fillId="15" borderId="2" xfId="0" applyFont="1" applyFill="1" applyBorder="1" applyAlignment="1">
      <alignment horizontal="center" vertical="center" readingOrder="2"/>
    </xf>
    <xf numFmtId="0" fontId="1" fillId="9" borderId="2" xfId="0" applyFont="1" applyFill="1" applyBorder="1" applyAlignment="1">
      <alignment horizontal="center" vertical="center" readingOrder="2"/>
    </xf>
    <xf numFmtId="0" fontId="1" fillId="7" borderId="2" xfId="0" applyFont="1" applyFill="1" applyBorder="1" applyAlignment="1">
      <alignment horizontal="center" vertical="center" readingOrder="2"/>
    </xf>
    <xf numFmtId="0" fontId="1" fillId="7" borderId="7" xfId="0" applyFont="1" applyFill="1" applyBorder="1" applyAlignment="1">
      <alignment horizontal="center" vertical="center" readingOrder="2"/>
    </xf>
    <xf numFmtId="167" fontId="1" fillId="0" borderId="0" xfId="1" applyNumberFormat="1" applyFont="1" applyAlignment="1" applyProtection="1">
      <alignment horizontal="center" vertical="center" readingOrder="2"/>
    </xf>
    <xf numFmtId="166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4" borderId="4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1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14" borderId="1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textRotation="90" readingOrder="2"/>
    </xf>
    <xf numFmtId="0" fontId="2" fillId="2" borderId="5" xfId="0" applyFont="1" applyFill="1" applyBorder="1" applyAlignment="1">
      <alignment horizontal="center" vertical="center" textRotation="90" readingOrder="2"/>
    </xf>
    <xf numFmtId="0" fontId="2" fillId="2" borderId="6" xfId="0" applyFont="1" applyFill="1" applyBorder="1" applyAlignment="1">
      <alignment horizontal="center" vertical="center" textRotation="90" readingOrder="2"/>
    </xf>
    <xf numFmtId="0" fontId="2" fillId="2" borderId="4" xfId="0" applyFont="1" applyFill="1" applyBorder="1" applyAlignment="1">
      <alignment horizontal="center" vertical="center" textRotation="90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4" borderId="6" xfId="0" applyFont="1" applyFill="1" applyBorder="1" applyAlignment="1">
      <alignment horizontal="center" vertical="center" readingOrder="2"/>
    </xf>
    <xf numFmtId="0" fontId="2" fillId="4" borderId="7" xfId="0" applyFont="1" applyFill="1" applyBorder="1" applyAlignment="1">
      <alignment horizontal="center" vertical="center" wrapText="1" readingOrder="2"/>
    </xf>
    <xf numFmtId="0" fontId="2" fillId="4" borderId="8" xfId="0" applyFont="1" applyFill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readingOrder="2"/>
    </xf>
    <xf numFmtId="0" fontId="2" fillId="4" borderId="10" xfId="0" applyFont="1" applyFill="1" applyBorder="1" applyAlignment="1">
      <alignment horizontal="center" vertical="center" readingOrder="2"/>
    </xf>
    <xf numFmtId="0" fontId="2" fillId="8" borderId="4" xfId="0" applyFont="1" applyFill="1" applyBorder="1" applyAlignment="1">
      <alignment horizontal="center" vertical="center" readingOrder="2"/>
    </xf>
    <xf numFmtId="0" fontId="2" fillId="10" borderId="4" xfId="0" applyFont="1" applyFill="1" applyBorder="1" applyAlignment="1">
      <alignment horizontal="center" vertical="center" readingOrder="2"/>
    </xf>
    <xf numFmtId="0" fontId="2" fillId="6" borderId="4" xfId="0" applyFont="1" applyFill="1" applyBorder="1" applyAlignment="1">
      <alignment horizontal="center" vertical="center" wrapText="1" readingOrder="2"/>
    </xf>
    <xf numFmtId="0" fontId="2" fillId="6" borderId="4" xfId="0" applyFont="1" applyFill="1" applyBorder="1" applyAlignment="1">
      <alignment horizontal="center" vertical="center" readingOrder="2"/>
    </xf>
  </cellXfs>
  <cellStyles count="7">
    <cellStyle name="40% - Accent4" xfId="5" builtinId="43"/>
    <cellStyle name="Accent2" xfId="2" builtinId="33"/>
    <cellStyle name="Accent3" xfId="3" builtinId="37"/>
    <cellStyle name="Accent4" xfId="4" builtinId="41"/>
    <cellStyle name="Normal" xfId="0" builtinId="0"/>
    <cellStyle name="Normal 2" xfId="6" xr:uid="{00000000-0005-0000-0000-000031000000}"/>
    <cellStyle name="Percent" xfId="1" builtinId="5"/>
  </cellStyles>
  <dxfs count="76">
    <dxf>
      <font>
        <color auto="1"/>
      </font>
      <fill>
        <patternFill patternType="solid">
          <bgColor rgb="FFFFC000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wrapText="1" readingOrder="2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/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66" formatCode="0.0"/>
      <fill>
        <patternFill patternType="none"/>
      </fill>
      <alignment horizontal="center" vertical="center" readingOrder="2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b/>
        <i val="0"/>
        <strike val="0"/>
        <u val="none"/>
        <sz val="12"/>
        <color theme="3"/>
        <name val="Calibri"/>
        <scheme val="none"/>
      </font>
      <fill>
        <patternFill patternType="solid">
          <bgColor theme="9" tint="0.79995117038483843"/>
        </patternFill>
      </fill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alignment horizontal="center" vertical="center" readingOrder="2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0" formatCode="General"/>
      <alignment horizontal="center" vertical="center" readingOrder="2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fill>
        <patternFill patternType="solid">
          <bgColor theme="8" tint="0.79995117038483843"/>
        </patternFill>
      </fill>
      <alignment horizontal="center" vertical="center" readingOrder="2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fill>
        <patternFill patternType="solid">
          <bgColor theme="8" tint="0.79995117038483843"/>
        </patternFill>
      </fill>
      <alignment horizontal="center" vertical="center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167" formatCode="0.0%"/>
      <fill>
        <patternFill patternType="solid">
          <bgColor theme="8" tint="0.79995117038483843"/>
        </patternFill>
      </fill>
      <alignment horizontal="center" vertical="center" wrapText="1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numFmt numFmtId="13" formatCode="0%"/>
      <fill>
        <patternFill patternType="solid">
          <bgColor theme="8" tint="0.79995117038483843"/>
        </patternFill>
      </fill>
      <alignment horizontal="center" vertical="center" wrapText="1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auto="1"/>
        <name val="Calibri"/>
        <scheme val="none"/>
      </font>
      <fill>
        <patternFill patternType="solid">
          <bgColor theme="8" tint="0.79995117038483843"/>
        </patternFill>
      </fill>
      <alignment horizontal="center" vertical="center" wrapText="1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numFmt numFmtId="13" formatCode="0%"/>
      <fill>
        <patternFill patternType="solid">
          <bgColor theme="8" tint="0.79995117038483843"/>
        </patternFill>
      </fill>
      <alignment horizontal="center" vertical="center" shrinkToFit="1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auto="1"/>
        <name val="Calibri"/>
        <scheme val="none"/>
      </font>
      <fill>
        <patternFill patternType="solid">
          <bgColor theme="8" tint="0.79995117038483843"/>
        </patternFill>
      </fill>
      <alignment horizontal="right" vertical="center" shrinkToFit="1" readingOrder="2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/>
        <i val="0"/>
        <strike val="0"/>
        <u val="none"/>
        <sz val="12"/>
        <color auto="1"/>
        <name val="Calibri"/>
        <scheme val="none"/>
      </font>
      <fill>
        <patternFill patternType="solid">
          <bgColor theme="8" tint="0.79995117038483843"/>
        </patternFill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FFFCC"/>
      <color rgb="FFFFFF99"/>
      <color rgb="FFFBFAD6"/>
      <color rgb="FFFBFA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53615</xdr:colOff>
      <xdr:row>0</xdr:row>
      <xdr:rowOff>64290</xdr:rowOff>
    </xdr:from>
    <xdr:to>
      <xdr:col>10</xdr:col>
      <xdr:colOff>49695</xdr:colOff>
      <xdr:row>4</xdr:row>
      <xdr:rowOff>314739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104890" y="64135"/>
          <a:ext cx="6308090" cy="1367790"/>
        </a:xfrm>
        <a:prstGeom prst="rect">
          <a:avLst/>
        </a:prstGeom>
        <a:solidFill>
          <a:srgbClr val="FBFAE9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/>
          <a:r>
            <a:rPr lang="ar-SA" sz="1150" b="1" u="sng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تعليمات:</a:t>
          </a:r>
        </a:p>
        <a:p>
          <a:pPr rtl="1"/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أوارق الملف محمية، ويمكن إلغاء الحماية من نافذة (مراجعة) بدون رمز مرور، ولا ينصح بذلك إلا لمن كان له معرفة بدوال الإكسل.</a:t>
          </a:r>
          <a:endParaRPr lang="ar-SA" sz="1150" b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rtl="1"/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للمحافظة على تنسيق الخلايا: تنقل نواتج التعلم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</a:t>
          </a:r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من توصيف المقرر إلى الجدول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، إ</a:t>
          </a:r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ما بالكتابة المباشرة، وإما باللصق مع "مطابقة تنسيق الوجهة".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 </a:t>
          </a:r>
          <a:r>
            <a:rPr lang="ar-SA" sz="1150" b="0" baseline="0">
              <a:solidFill>
                <a:srgbClr val="FF0000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و</a:t>
          </a:r>
          <a:r>
            <a:rPr lang="ar-SA" sz="1150" b="0">
              <a:solidFill>
                <a:srgbClr val="FF0000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يمنع نقل بيانات الخلايا بواسطة (القص</a:t>
          </a:r>
          <a:r>
            <a:rPr lang="ar-SA" sz="1150" b="0" baseline="0">
              <a:solidFill>
                <a:srgbClr val="FF0000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واللصق) أو (السحب والإفلات)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؛ لأنه يؤثر على مرجع الخلية ويتسبب في ظهور أخطاء في الحساب.</a:t>
          </a:r>
          <a:endParaRPr lang="ar-SA" sz="1150" b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rtl="1"/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يحدد المستوى المستهدف لكل ناتج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(عدد الطلبة الذين نستهدف تحقيقهم لدرجة معينة)، ويؤخذ من منسق المقرر أو البرنامج.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يقترح إخفاء الصفوف الزائدة</a:t>
          </a:r>
          <a:r>
            <a:rPr lang="en-US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للنواتج، من خلال تظليلها ثم بالزر الأيمن للفأرة (إخفاء).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26782</xdr:colOff>
      <xdr:row>0</xdr:row>
      <xdr:rowOff>82216</xdr:rowOff>
    </xdr:from>
    <xdr:to>
      <xdr:col>2</xdr:col>
      <xdr:colOff>1631674</xdr:colOff>
      <xdr:row>4</xdr:row>
      <xdr:rowOff>1167849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6670" y="81915"/>
          <a:ext cx="3261995" cy="2228850"/>
        </a:xfrm>
        <a:prstGeom prst="rect">
          <a:avLst/>
        </a:prstGeom>
        <a:solidFill>
          <a:srgbClr val="FBFAE9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/>
          <a:r>
            <a:rPr lang="ar-SA" sz="1150" b="1" u="sng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تعليمات: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تحدد عناصر التقييم (واجب / بحث / اختبار فصلي / اختبار نهائي  ...)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يحدد رقم السؤال، ويحدد من القائمة المنسدلة رمز الناتج المرتبط به.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تحدد درجة كل سؤال.</a:t>
          </a:r>
        </a:p>
        <a:p>
          <a:pPr rtl="1"/>
          <a:endParaRPr lang="ar-SA" sz="1150" b="0" baseline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rtl="1"/>
          <a:endParaRPr lang="ar-SA" sz="1150" b="0" baseline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التأكيد على أن يكون إدخال البيانات والدرجات إما بالكتابة، وإما باللصق</a:t>
          </a: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 مع "مطابقة تنسيق الوجهة"، </a:t>
          </a:r>
          <a:r>
            <a:rPr lang="ar-SA" sz="1150" b="0" baseline="0">
              <a:solidFill>
                <a:srgbClr val="FF0000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وعدم استعمال خيار النقل والقص مطلقًا.</a:t>
          </a:r>
          <a:endParaRPr lang="ar-SA" sz="1150" b="0" baseline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تعبئة الخلية باللون البرتقالي يدل على وجود نقص أو خطأ في قيمة الخلية.</a:t>
          </a:r>
        </a:p>
        <a:p>
          <a:pPr marL="0" marR="0" lvl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يقترح إخفاء الأعمدة والصفوف الزائدة، من خلال تظليلها ثم: (إخفاء).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91585</xdr:colOff>
      <xdr:row>1</xdr:row>
      <xdr:rowOff>66675</xdr:rowOff>
    </xdr:from>
    <xdr:to>
      <xdr:col>20</xdr:col>
      <xdr:colOff>149087</xdr:colOff>
      <xdr:row>1</xdr:row>
      <xdr:rowOff>1018761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016740" y="352425"/>
          <a:ext cx="3390900" cy="951865"/>
        </a:xfrm>
        <a:prstGeom prst="rect">
          <a:avLst/>
        </a:prstGeom>
        <a:solidFill>
          <a:srgbClr val="FBFAE9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indent="0" rtl="1"/>
          <a:r>
            <a:rPr lang="ar-SA" sz="1150" b="1" u="sng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تعليمات:</a:t>
          </a:r>
        </a:p>
        <a:p>
          <a:pPr marL="0" indent="0" rtl="1"/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هذه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الورقة محمية بالكامل </a:t>
          </a:r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ولا يمكن التعديل عليها،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وهي مرتبطة بما قبلها.</a:t>
          </a:r>
        </a:p>
        <a:p>
          <a:pPr marL="0" indent="0" rtl="1"/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الدرجة التي تظهر باللون الأحمر هي درجة لم تحقق المستهدف.</a:t>
          </a:r>
          <a:endParaRPr lang="ar-SA" sz="1150" b="0">
            <a:solidFill>
              <a:schemeClr val="dk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marL="0" indent="0" rtl="1" eaLnBrk="1" fontAlgn="auto" latinLnBrk="0" hangingPunct="1"/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* يقترح إخفاء الأعمدة والصفوف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الزائدة</a:t>
          </a:r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، من خلال تظليلها ثم:</a:t>
          </a:r>
          <a:r>
            <a:rPr lang="ar-SA" sz="1150" b="0" baseline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</a:t>
          </a:r>
          <a:r>
            <a:rPr lang="ar-SA" sz="1150" b="0">
              <a:solidFill>
                <a:schemeClr val="dk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(إخفاء).</a:t>
          </a:r>
          <a:endParaRPr lang="ar-SA" sz="1150">
            <a:effectLst/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نواتج_التعلم" displayName="نواتج_التعلم" ref="B9:I22" totalsRowShown="0">
  <autoFilter ref="B9:I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الرمز" dataDxfId="75"/>
    <tableColumn id="2" xr3:uid="{00000000-0010-0000-0000-000002000000}" name="نواتج التعلم" dataDxfId="74"/>
    <tableColumn id="3" xr3:uid="{00000000-0010-0000-0000-000003000000}" name="المستوى المستهدف 1" dataDxfId="73"/>
    <tableColumn id="4" xr3:uid="{00000000-0010-0000-0000-000004000000}" name="المستوى المستهدف 2" dataDxfId="72"/>
    <tableColumn id="5" xr3:uid="{00000000-0010-0000-0000-000005000000}" name="المستوى الفعلي" dataDxfId="71">
      <calculatedColumnFormula>'قياس النواتج'!$P$14</calculatedColumnFormula>
    </tableColumn>
    <tableColumn id="10" xr3:uid="{00000000-0010-0000-0000-00000A000000}" name="عمود1" dataDxfId="70">
      <calculatedColumnFormula>IF(OR(D10="",E10="",F10=""),"",IF(F10&gt;=D10,"نعم","لا"))</calculatedColumnFormula>
    </tableColumn>
    <tableColumn id="6" xr3:uid="{00000000-0010-0000-0000-000006000000}" name="عدد الأسئلة" dataDxfId="69">
      <calculatedColumnFormula>'قياس النواتج'!$P$3</calculatedColumnFormula>
    </tableColumn>
    <tableColumn id="7" xr3:uid="{00000000-0010-0000-0000-000007000000}" name="مجموع الدرجات" dataDxfId="68">
      <calculatedColumnFormula>'قياس النواتج'!$P$19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جدول_الرصد" displayName="جدول_الرصد" ref="A7:AH47" totalsRowShown="0">
  <autoFilter ref="A7:AH47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00000000-0010-0000-0100-000001000000}" name="عدد" dataDxfId="67">
      <calculatedColumnFormula>ROW()-7</calculatedColumnFormula>
    </tableColumn>
    <tableColumn id="2" xr3:uid="{00000000-0010-0000-0100-000002000000}" name="الرقم الجامعي" dataDxfId="66"/>
    <tableColumn id="3" xr3:uid="{00000000-0010-0000-0100-000003000000}" name="الاسم" dataDxfId="65"/>
    <tableColumn id="25" xr3:uid="{00000000-0010-0000-0100-000019000000}" name="المجموع" dataDxfId="64">
      <calculatedColumnFormula>IF(C8="","",SUM(E8:AH8))</calculatedColumnFormula>
    </tableColumn>
    <tableColumn id="4" xr3:uid="{00000000-0010-0000-0100-000004000000}" name="1" dataDxfId="63"/>
    <tableColumn id="5" xr3:uid="{00000000-0010-0000-0100-000005000000}" name="2" dataDxfId="62"/>
    <tableColumn id="6" xr3:uid="{00000000-0010-0000-0100-000006000000}" name="3" dataDxfId="61"/>
    <tableColumn id="7" xr3:uid="{00000000-0010-0000-0100-000007000000}" name="4" dataDxfId="60"/>
    <tableColumn id="8" xr3:uid="{00000000-0010-0000-0100-000008000000}" name="5" dataDxfId="59"/>
    <tableColumn id="9" xr3:uid="{00000000-0010-0000-0100-000009000000}" name="6" dataDxfId="58"/>
    <tableColumn id="10" xr3:uid="{00000000-0010-0000-0100-00000A000000}" name="7" dataDxfId="57"/>
    <tableColumn id="11" xr3:uid="{00000000-0010-0000-0100-00000B000000}" name="8" dataDxfId="56"/>
    <tableColumn id="12" xr3:uid="{00000000-0010-0000-0100-00000C000000}" name="9" dataDxfId="55"/>
    <tableColumn id="13" xr3:uid="{00000000-0010-0000-0100-00000D000000}" name="10" dataDxfId="54"/>
    <tableColumn id="14" xr3:uid="{00000000-0010-0000-0100-00000E000000}" name="11" dataDxfId="53"/>
    <tableColumn id="15" xr3:uid="{00000000-0010-0000-0100-00000F000000}" name="12" dataDxfId="52"/>
    <tableColumn id="16" xr3:uid="{00000000-0010-0000-0100-000010000000}" name="13" dataDxfId="51"/>
    <tableColumn id="24" xr3:uid="{00000000-0010-0000-0100-000018000000}" name="14" dataDxfId="50"/>
    <tableColumn id="17" xr3:uid="{00000000-0010-0000-0100-000011000000}" name="15" dataDxfId="49"/>
    <tableColumn id="23" xr3:uid="{00000000-0010-0000-0100-000017000000}" name="16" dataDxfId="48"/>
    <tableColumn id="22" xr3:uid="{00000000-0010-0000-0100-000016000000}" name="17" dataDxfId="47"/>
    <tableColumn id="21" xr3:uid="{00000000-0010-0000-0100-000015000000}" name="18" dataDxfId="46"/>
    <tableColumn id="30" xr3:uid="{00000000-0010-0000-0100-00001E000000}" name="19" dataDxfId="45"/>
    <tableColumn id="29" xr3:uid="{00000000-0010-0000-0100-00001D000000}" name="20" dataDxfId="44"/>
    <tableColumn id="28" xr3:uid="{00000000-0010-0000-0100-00001C000000}" name="21" dataDxfId="43"/>
    <tableColumn id="27" xr3:uid="{00000000-0010-0000-0100-00001B000000}" name="22" dataDxfId="42"/>
    <tableColumn id="26" xr3:uid="{00000000-0010-0000-0100-00001A000000}" name="23" dataDxfId="41"/>
    <tableColumn id="20" xr3:uid="{00000000-0010-0000-0100-000014000000}" name="24" dataDxfId="40"/>
    <tableColumn id="38" xr3:uid="{00000000-0010-0000-0100-000026000000}" name="25" dataDxfId="39"/>
    <tableColumn id="37" xr3:uid="{00000000-0010-0000-0100-000025000000}" name="26" dataDxfId="38"/>
    <tableColumn id="36" xr3:uid="{00000000-0010-0000-0100-000024000000}" name="27" dataDxfId="37"/>
    <tableColumn id="35" xr3:uid="{00000000-0010-0000-0100-000023000000}" name="28" dataDxfId="36"/>
    <tableColumn id="34" xr3:uid="{00000000-0010-0000-0100-000022000000}" name="29" dataDxfId="35"/>
    <tableColumn id="33" xr3:uid="{00000000-0010-0000-0100-000021000000}" name="30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قياس_النواتج" displayName="قياس_النواتج" ref="A20:R60" totalsRowShown="0">
  <tableColumns count="18">
    <tableColumn id="1" xr3:uid="{00000000-0010-0000-0200-000001000000}" name="عدد" dataDxfId="33">
      <calculatedColumnFormula>'رصد الدرجات'!A8</calculatedColumnFormula>
    </tableColumn>
    <tableColumn id="2" xr3:uid="{00000000-0010-0000-0200-000002000000}" name="الرقم الجامعي" dataDxfId="32">
      <calculatedColumnFormula>IF('رصد الدرجات'!B8="","",'رصد الدرجات'!B8)</calculatedColumnFormula>
    </tableColumn>
    <tableColumn id="3" xr3:uid="{00000000-0010-0000-0200-000003000000}" name="اسم الطالب" dataDxfId="31">
      <calculatedColumnFormula>IF('رصد الدرجات'!C8="","",'رصد الدرجات'!C8)</calculatedColumnFormula>
    </tableColumn>
    <tableColumn id="4" xr3:uid="{00000000-0010-0000-0200-000004000000}" name="1.1" dataDxfId="30">
      <calculatedColumnFormula>IF(D$2="","",IF($C21="","",SUMIF('رصد الدرجات'!$3:$3,D$1,'رصد الدرجات'!8:8)))</calculatedColumnFormula>
    </tableColumn>
    <tableColumn id="5" xr3:uid="{00000000-0010-0000-0200-000005000000}" name="1.2" dataDxfId="29">
      <calculatedColumnFormula>IF(E$2="","",IF($C21="","",SUMIF('رصد الدرجات'!$3:$3,E$1,'رصد الدرجات'!8:8)))</calculatedColumnFormula>
    </tableColumn>
    <tableColumn id="6" xr3:uid="{00000000-0010-0000-0200-000006000000}" name="1.3" dataDxfId="28">
      <calculatedColumnFormula>IF(F$2="","",IF($C21="","",SUMIF('رصد الدرجات'!$3:$3,F$1,'رصد الدرجات'!8:8)))</calculatedColumnFormula>
    </tableColumn>
    <tableColumn id="7" xr3:uid="{00000000-0010-0000-0200-000007000000}" name="1.4" dataDxfId="27">
      <calculatedColumnFormula>IF(G$2="","",IF($C21="","",SUMIF('رصد الدرجات'!$3:$3,G$1,'رصد الدرجات'!8:8)))</calculatedColumnFormula>
    </tableColumn>
    <tableColumn id="8" xr3:uid="{00000000-0010-0000-0200-000008000000}" name="1.5" dataDxfId="26">
      <calculatedColumnFormula>IF(H$2="","",IF($C21="","",SUMIF('رصد الدرجات'!$3:$3,H$1,'رصد الدرجات'!8:8)))</calculatedColumnFormula>
    </tableColumn>
    <tableColumn id="9" xr3:uid="{00000000-0010-0000-0200-000009000000}" name="2.1" dataDxfId="25">
      <calculatedColumnFormula>IF(I$2="","",IF($C21="","",SUMIF('رصد الدرجات'!$3:$3,I$1,'رصد الدرجات'!8:8)))</calculatedColumnFormula>
    </tableColumn>
    <tableColumn id="10" xr3:uid="{00000000-0010-0000-0200-00000A000000}" name="2.2" dataDxfId="24">
      <calculatedColumnFormula>IF(J$2="","",IF($C21="","",SUMIF('رصد الدرجات'!$3:$3,J$1,'رصد الدرجات'!8:8)))</calculatedColumnFormula>
    </tableColumn>
    <tableColumn id="11" xr3:uid="{00000000-0010-0000-0200-00000B000000}" name="2.3" dataDxfId="23">
      <calculatedColumnFormula>IF(K$2="","",IF($C21="","",SUMIF('رصد الدرجات'!$3:$3,K$1,'رصد الدرجات'!8:8)))</calculatedColumnFormula>
    </tableColumn>
    <tableColumn id="18" xr3:uid="{00000000-0010-0000-0200-000012000000}" name="2.4" dataDxfId="22">
      <calculatedColumnFormula>IF(L$2="","",IF($C21="","",SUMIF('رصد الدرجات'!$3:$3,L$1,'رصد الدرجات'!8:8)))</calculatedColumnFormula>
    </tableColumn>
    <tableColumn id="17" xr3:uid="{00000000-0010-0000-0200-000011000000}" name="2.5" dataDxfId="21">
      <calculatedColumnFormula>IF(M$2="","",IF($C21="","",SUMIF('رصد الدرجات'!$3:$3,M$1,'رصد الدرجات'!8:8)))</calculatedColumnFormula>
    </tableColumn>
    <tableColumn id="16" xr3:uid="{00000000-0010-0000-0200-000010000000}" name="3.1" dataDxfId="20">
      <calculatedColumnFormula>IF(N$2="","",IF($C21="","",SUMIF('رصد الدرجات'!$3:$3,N$1,'رصد الدرجات'!8:8)))</calculatedColumnFormula>
    </tableColumn>
    <tableColumn id="15" xr3:uid="{00000000-0010-0000-0200-00000F000000}" name="3.2" dataDxfId="19">
      <calculatedColumnFormula>IF(O$2="","",IF($C21="","",SUMIF('رصد الدرجات'!$3:$3,O$1,'رصد الدرجات'!8:8)))</calculatedColumnFormula>
    </tableColumn>
    <tableColumn id="12" xr3:uid="{00000000-0010-0000-0200-00000C000000}" name="3.3" dataDxfId="18">
      <calculatedColumnFormula>IF(P$2="","",IF($C21="","",SUMIF('رصد الدرجات'!$3:$3,P$1,'رصد الدرجات'!8:8)))</calculatedColumnFormula>
    </tableColumn>
    <tableColumn id="14" xr3:uid="{00000000-0010-0000-0200-00000E000000}" name="المجموع" dataDxfId="17">
      <calculatedColumnFormula>IF($C21="","",SUM(D21:P21))</calculatedColumnFormula>
    </tableColumn>
    <tableColumn id="20" xr3:uid="{00000000-0010-0000-0200-000014000000}" name="التقدير" dataDxfId="16">
      <calculatedColumnFormula>IF(C21="","",IF(Q21&gt;100,"خطأ",IF(Q21&gt;=95,"أ+",IF(Q21&gt;=90,"أ",IF(Q21&gt;=85,"ب+",IF(Q21&gt;=80,"ب",IF(Q21&gt;=75,"ج+",IF(Q21&gt;=70,"ج",IF(Q21&gt;=65,"د+",IF(Q21&gt;=60,"د",IF(Q21&gt;=0,"ه","")))))))))))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4:E462"/>
  <sheetViews>
    <sheetView workbookViewId="0"/>
  </sheetViews>
  <sheetFormatPr defaultColWidth="8.69921875" defaultRowHeight="12.75"/>
  <sheetData>
    <row r="4" spans="1:5">
      <c r="A4" s="99"/>
      <c r="B4" s="99"/>
    </row>
    <row r="5" spans="1:5">
      <c r="A5" s="99"/>
    </row>
    <row r="6" spans="1:5">
      <c r="A6" s="100">
        <v>0</v>
      </c>
      <c r="B6" t="s">
        <v>0</v>
      </c>
      <c r="D6" s="101">
        <v>0</v>
      </c>
      <c r="E6" t="s">
        <v>0</v>
      </c>
    </row>
    <row r="7" spans="1:5">
      <c r="A7" s="100">
        <f t="shared" ref="A7:A47" si="0">ROUND(A6+0.01,2)</f>
        <v>0.01</v>
      </c>
      <c r="B7" t="s">
        <v>1</v>
      </c>
      <c r="D7" s="102">
        <v>1</v>
      </c>
      <c r="E7" t="s">
        <v>2</v>
      </c>
    </row>
    <row r="8" spans="1:5">
      <c r="A8" s="100">
        <f t="shared" si="0"/>
        <v>0.02</v>
      </c>
      <c r="B8" t="s">
        <v>3</v>
      </c>
      <c r="D8" s="102">
        <f t="shared" ref="D8:D48" si="1">D7+1</f>
        <v>2</v>
      </c>
      <c r="E8" t="s">
        <v>4</v>
      </c>
    </row>
    <row r="9" spans="1:5">
      <c r="A9" s="100">
        <f t="shared" si="0"/>
        <v>0.03</v>
      </c>
      <c r="B9" t="s">
        <v>5</v>
      </c>
      <c r="D9" s="102">
        <f t="shared" si="1"/>
        <v>3</v>
      </c>
      <c r="E9" t="s">
        <v>6</v>
      </c>
    </row>
    <row r="10" spans="1:5">
      <c r="A10" s="100">
        <f t="shared" si="0"/>
        <v>0.04</v>
      </c>
      <c r="B10" t="s">
        <v>7</v>
      </c>
      <c r="D10" s="102">
        <f t="shared" si="1"/>
        <v>4</v>
      </c>
      <c r="E10" t="s">
        <v>8</v>
      </c>
    </row>
    <row r="11" spans="1:5">
      <c r="A11" s="100">
        <f t="shared" si="0"/>
        <v>0.05</v>
      </c>
      <c r="B11" t="s">
        <v>9</v>
      </c>
      <c r="D11" s="102">
        <f t="shared" si="1"/>
        <v>5</v>
      </c>
      <c r="E11" t="s">
        <v>10</v>
      </c>
    </row>
    <row r="12" spans="1:5">
      <c r="A12" s="100">
        <f t="shared" si="0"/>
        <v>0.06</v>
      </c>
      <c r="B12" t="s">
        <v>11</v>
      </c>
      <c r="D12" s="102">
        <f t="shared" si="1"/>
        <v>6</v>
      </c>
      <c r="E12" t="s">
        <v>12</v>
      </c>
    </row>
    <row r="13" spans="1:5">
      <c r="A13" s="100">
        <f t="shared" si="0"/>
        <v>7.0000000000000007E-2</v>
      </c>
      <c r="B13" t="s">
        <v>13</v>
      </c>
      <c r="D13" s="102">
        <f t="shared" si="1"/>
        <v>7</v>
      </c>
      <c r="E13" t="s">
        <v>14</v>
      </c>
    </row>
    <row r="14" spans="1:5">
      <c r="A14" s="100">
        <f t="shared" si="0"/>
        <v>0.08</v>
      </c>
      <c r="B14" t="s">
        <v>15</v>
      </c>
      <c r="D14" s="102">
        <f t="shared" si="1"/>
        <v>8</v>
      </c>
      <c r="E14" t="s">
        <v>16</v>
      </c>
    </row>
    <row r="15" spans="1:5">
      <c r="A15" s="100">
        <f t="shared" si="0"/>
        <v>0.09</v>
      </c>
      <c r="B15" t="s">
        <v>17</v>
      </c>
      <c r="D15" s="102">
        <f t="shared" si="1"/>
        <v>9</v>
      </c>
      <c r="E15" t="s">
        <v>18</v>
      </c>
    </row>
    <row r="16" spans="1:5">
      <c r="A16" s="100">
        <f t="shared" si="0"/>
        <v>0.1</v>
      </c>
      <c r="B16" t="s">
        <v>19</v>
      </c>
      <c r="D16" s="102">
        <f t="shared" si="1"/>
        <v>10</v>
      </c>
      <c r="E16" t="s">
        <v>20</v>
      </c>
    </row>
    <row r="17" spans="1:5">
      <c r="A17" s="100">
        <f t="shared" si="0"/>
        <v>0.11</v>
      </c>
      <c r="B17" t="s">
        <v>21</v>
      </c>
      <c r="D17" s="102">
        <f t="shared" si="1"/>
        <v>11</v>
      </c>
      <c r="E17" t="s">
        <v>22</v>
      </c>
    </row>
    <row r="18" spans="1:5">
      <c r="A18" s="100">
        <f t="shared" si="0"/>
        <v>0.12</v>
      </c>
      <c r="B18" t="s">
        <v>23</v>
      </c>
      <c r="D18" s="102">
        <f t="shared" si="1"/>
        <v>12</v>
      </c>
      <c r="E18" t="s">
        <v>24</v>
      </c>
    </row>
    <row r="19" spans="1:5">
      <c r="A19" s="100">
        <f t="shared" si="0"/>
        <v>0.13</v>
      </c>
      <c r="B19" t="s">
        <v>25</v>
      </c>
      <c r="D19" s="102">
        <f t="shared" si="1"/>
        <v>13</v>
      </c>
      <c r="E19" t="s">
        <v>26</v>
      </c>
    </row>
    <row r="20" spans="1:5">
      <c r="A20" s="100">
        <f t="shared" si="0"/>
        <v>0.14000000000000001</v>
      </c>
      <c r="B20" t="s">
        <v>27</v>
      </c>
      <c r="D20" s="102">
        <f t="shared" si="1"/>
        <v>14</v>
      </c>
      <c r="E20" t="s">
        <v>28</v>
      </c>
    </row>
    <row r="21" spans="1:5">
      <c r="A21" s="100">
        <f t="shared" si="0"/>
        <v>0.15</v>
      </c>
      <c r="B21" t="s">
        <v>29</v>
      </c>
      <c r="D21" s="102">
        <f t="shared" si="1"/>
        <v>15</v>
      </c>
      <c r="E21" t="s">
        <v>30</v>
      </c>
    </row>
    <row r="22" spans="1:5">
      <c r="A22" s="100">
        <f t="shared" si="0"/>
        <v>0.16</v>
      </c>
      <c r="B22" t="s">
        <v>31</v>
      </c>
      <c r="D22" s="102">
        <f t="shared" si="1"/>
        <v>16</v>
      </c>
      <c r="E22" t="s">
        <v>32</v>
      </c>
    </row>
    <row r="23" spans="1:5">
      <c r="A23" s="100">
        <f t="shared" si="0"/>
        <v>0.17</v>
      </c>
      <c r="B23" t="s">
        <v>33</v>
      </c>
      <c r="D23" s="102">
        <f t="shared" si="1"/>
        <v>17</v>
      </c>
      <c r="E23" t="s">
        <v>34</v>
      </c>
    </row>
    <row r="24" spans="1:5">
      <c r="A24" s="100">
        <f t="shared" si="0"/>
        <v>0.18</v>
      </c>
      <c r="B24" t="s">
        <v>35</v>
      </c>
      <c r="D24" s="102">
        <f t="shared" si="1"/>
        <v>18</v>
      </c>
      <c r="E24" t="s">
        <v>36</v>
      </c>
    </row>
    <row r="25" spans="1:5">
      <c r="A25" s="100">
        <f t="shared" si="0"/>
        <v>0.19</v>
      </c>
      <c r="B25" t="s">
        <v>37</v>
      </c>
      <c r="D25" s="102">
        <f t="shared" si="1"/>
        <v>19</v>
      </c>
      <c r="E25" t="s">
        <v>38</v>
      </c>
    </row>
    <row r="26" spans="1:5">
      <c r="A26" s="100">
        <f t="shared" si="0"/>
        <v>0.2</v>
      </c>
      <c r="B26" t="s">
        <v>39</v>
      </c>
      <c r="D26" s="102">
        <f t="shared" si="1"/>
        <v>20</v>
      </c>
      <c r="E26" t="s">
        <v>40</v>
      </c>
    </row>
    <row r="27" spans="1:5">
      <c r="A27" s="100">
        <f t="shared" si="0"/>
        <v>0.21</v>
      </c>
      <c r="B27" t="s">
        <v>41</v>
      </c>
      <c r="D27" s="102">
        <f t="shared" si="1"/>
        <v>21</v>
      </c>
      <c r="E27" t="s">
        <v>42</v>
      </c>
    </row>
    <row r="28" spans="1:5">
      <c r="A28" s="100">
        <f t="shared" si="0"/>
        <v>0.22</v>
      </c>
      <c r="B28" t="s">
        <v>43</v>
      </c>
      <c r="D28" s="102">
        <f t="shared" si="1"/>
        <v>22</v>
      </c>
      <c r="E28" t="s">
        <v>44</v>
      </c>
    </row>
    <row r="29" spans="1:5">
      <c r="A29" s="100">
        <f t="shared" si="0"/>
        <v>0.23</v>
      </c>
      <c r="B29" t="s">
        <v>45</v>
      </c>
      <c r="D29" s="102">
        <f t="shared" si="1"/>
        <v>23</v>
      </c>
      <c r="E29" t="s">
        <v>46</v>
      </c>
    </row>
    <row r="30" spans="1:5">
      <c r="A30" s="100">
        <f t="shared" si="0"/>
        <v>0.24</v>
      </c>
      <c r="B30" t="s">
        <v>47</v>
      </c>
      <c r="D30" s="102">
        <f t="shared" si="1"/>
        <v>24</v>
      </c>
      <c r="E30" t="s">
        <v>48</v>
      </c>
    </row>
    <row r="31" spans="1:5">
      <c r="A31" s="100">
        <f t="shared" si="0"/>
        <v>0.25</v>
      </c>
      <c r="B31" t="s">
        <v>49</v>
      </c>
      <c r="D31" s="102">
        <f t="shared" si="1"/>
        <v>25</v>
      </c>
      <c r="E31" t="s">
        <v>50</v>
      </c>
    </row>
    <row r="32" spans="1:5">
      <c r="A32" s="100">
        <f t="shared" si="0"/>
        <v>0.26</v>
      </c>
      <c r="B32" t="s">
        <v>51</v>
      </c>
      <c r="D32" s="102">
        <f t="shared" si="1"/>
        <v>26</v>
      </c>
      <c r="E32" t="s">
        <v>52</v>
      </c>
    </row>
    <row r="33" spans="1:5">
      <c r="A33" s="100">
        <f t="shared" si="0"/>
        <v>0.27</v>
      </c>
      <c r="B33" t="s">
        <v>53</v>
      </c>
      <c r="D33" s="102">
        <f t="shared" si="1"/>
        <v>27</v>
      </c>
      <c r="E33" t="s">
        <v>54</v>
      </c>
    </row>
    <row r="34" spans="1:5">
      <c r="A34" s="100">
        <f t="shared" si="0"/>
        <v>0.28000000000000003</v>
      </c>
      <c r="B34" t="s">
        <v>55</v>
      </c>
      <c r="D34" s="102">
        <f t="shared" si="1"/>
        <v>28</v>
      </c>
      <c r="E34" t="s">
        <v>56</v>
      </c>
    </row>
    <row r="35" spans="1:5">
      <c r="A35" s="100">
        <f t="shared" si="0"/>
        <v>0.28999999999999998</v>
      </c>
      <c r="B35" t="s">
        <v>57</v>
      </c>
      <c r="D35" s="102">
        <f t="shared" si="1"/>
        <v>29</v>
      </c>
      <c r="E35" t="s">
        <v>58</v>
      </c>
    </row>
    <row r="36" spans="1:5">
      <c r="A36" s="100">
        <f t="shared" si="0"/>
        <v>0.3</v>
      </c>
      <c r="B36" t="s">
        <v>59</v>
      </c>
      <c r="D36" s="102">
        <f t="shared" si="1"/>
        <v>30</v>
      </c>
      <c r="E36" t="s">
        <v>60</v>
      </c>
    </row>
    <row r="37" spans="1:5">
      <c r="A37" s="100">
        <f t="shared" si="0"/>
        <v>0.31</v>
      </c>
      <c r="B37" t="s">
        <v>61</v>
      </c>
      <c r="D37" s="102">
        <f t="shared" si="1"/>
        <v>31</v>
      </c>
      <c r="E37" t="s">
        <v>62</v>
      </c>
    </row>
    <row r="38" spans="1:5">
      <c r="A38" s="100">
        <f t="shared" si="0"/>
        <v>0.32</v>
      </c>
      <c r="B38" t="s">
        <v>63</v>
      </c>
      <c r="D38" s="102">
        <f t="shared" si="1"/>
        <v>32</v>
      </c>
      <c r="E38" t="s">
        <v>64</v>
      </c>
    </row>
    <row r="39" spans="1:5">
      <c r="A39" s="100">
        <f t="shared" si="0"/>
        <v>0.33</v>
      </c>
      <c r="B39" t="s">
        <v>65</v>
      </c>
      <c r="D39" s="102">
        <f t="shared" si="1"/>
        <v>33</v>
      </c>
      <c r="E39" t="s">
        <v>66</v>
      </c>
    </row>
    <row r="40" spans="1:5">
      <c r="A40" s="100">
        <f t="shared" si="0"/>
        <v>0.34</v>
      </c>
      <c r="B40" t="s">
        <v>67</v>
      </c>
      <c r="D40" s="102">
        <f t="shared" si="1"/>
        <v>34</v>
      </c>
      <c r="E40" t="s">
        <v>68</v>
      </c>
    </row>
    <row r="41" spans="1:5">
      <c r="A41" s="100">
        <f t="shared" si="0"/>
        <v>0.35</v>
      </c>
      <c r="B41" t="s">
        <v>69</v>
      </c>
      <c r="D41" s="102">
        <f t="shared" si="1"/>
        <v>35</v>
      </c>
      <c r="E41" t="s">
        <v>70</v>
      </c>
    </row>
    <row r="42" spans="1:5">
      <c r="A42" s="100">
        <f t="shared" si="0"/>
        <v>0.36</v>
      </c>
      <c r="B42" t="s">
        <v>71</v>
      </c>
      <c r="D42" s="102">
        <f t="shared" si="1"/>
        <v>36</v>
      </c>
      <c r="E42" t="s">
        <v>72</v>
      </c>
    </row>
    <row r="43" spans="1:5">
      <c r="A43" s="100">
        <f t="shared" si="0"/>
        <v>0.37</v>
      </c>
      <c r="B43" t="s">
        <v>73</v>
      </c>
      <c r="D43" s="102">
        <f t="shared" si="1"/>
        <v>37</v>
      </c>
      <c r="E43" t="s">
        <v>74</v>
      </c>
    </row>
    <row r="44" spans="1:5">
      <c r="A44" s="100">
        <f t="shared" si="0"/>
        <v>0.38</v>
      </c>
      <c r="B44" t="s">
        <v>75</v>
      </c>
      <c r="D44" s="102">
        <f t="shared" si="1"/>
        <v>38</v>
      </c>
      <c r="E44" t="s">
        <v>76</v>
      </c>
    </row>
    <row r="45" spans="1:5">
      <c r="A45" s="100">
        <f t="shared" si="0"/>
        <v>0.39</v>
      </c>
      <c r="B45" t="s">
        <v>77</v>
      </c>
      <c r="D45" s="102">
        <f t="shared" si="1"/>
        <v>39</v>
      </c>
      <c r="E45" t="s">
        <v>78</v>
      </c>
    </row>
    <row r="46" spans="1:5">
      <c r="A46" s="100">
        <f t="shared" si="0"/>
        <v>0.4</v>
      </c>
      <c r="B46" t="s">
        <v>79</v>
      </c>
      <c r="D46" s="102">
        <f t="shared" si="1"/>
        <v>40</v>
      </c>
      <c r="E46" t="s">
        <v>80</v>
      </c>
    </row>
    <row r="47" spans="1:5">
      <c r="A47" s="100">
        <f t="shared" si="0"/>
        <v>0.41</v>
      </c>
      <c r="B47" t="s">
        <v>81</v>
      </c>
      <c r="D47" s="102">
        <f t="shared" si="1"/>
        <v>41</v>
      </c>
      <c r="E47" t="s">
        <v>82</v>
      </c>
    </row>
    <row r="48" spans="1:5">
      <c r="A48" s="100"/>
      <c r="D48" s="102">
        <f t="shared" si="1"/>
        <v>42</v>
      </c>
      <c r="E48" t="s">
        <v>83</v>
      </c>
    </row>
    <row r="49" spans="1:5">
      <c r="A49" s="100">
        <f>ROUND(A47+0.01,2)</f>
        <v>0.42</v>
      </c>
      <c r="B49" t="s">
        <v>84</v>
      </c>
      <c r="D49" s="102"/>
    </row>
    <row r="50" spans="1:5">
      <c r="A50" s="100">
        <f t="shared" ref="A50:A81" si="2">ROUND(A49+0.01,2)</f>
        <v>0.43</v>
      </c>
      <c r="B50" t="s">
        <v>85</v>
      </c>
      <c r="D50" s="102">
        <f>D48+1</f>
        <v>43</v>
      </c>
      <c r="E50" t="s">
        <v>86</v>
      </c>
    </row>
    <row r="51" spans="1:5">
      <c r="A51" s="100">
        <f t="shared" si="2"/>
        <v>0.44</v>
      </c>
      <c r="B51" t="s">
        <v>87</v>
      </c>
      <c r="D51" s="102">
        <f t="shared" ref="D51:D82" si="3">D50+1</f>
        <v>44</v>
      </c>
      <c r="E51" t="s">
        <v>88</v>
      </c>
    </row>
    <row r="52" spans="1:5">
      <c r="A52" s="100">
        <f t="shared" si="2"/>
        <v>0.45</v>
      </c>
      <c r="B52" t="s">
        <v>89</v>
      </c>
      <c r="D52" s="102">
        <f t="shared" si="3"/>
        <v>45</v>
      </c>
      <c r="E52" t="s">
        <v>90</v>
      </c>
    </row>
    <row r="53" spans="1:5">
      <c r="A53" s="100">
        <f t="shared" si="2"/>
        <v>0.46</v>
      </c>
      <c r="B53" t="s">
        <v>91</v>
      </c>
      <c r="D53" s="102">
        <f t="shared" si="3"/>
        <v>46</v>
      </c>
      <c r="E53" t="s">
        <v>92</v>
      </c>
    </row>
    <row r="54" spans="1:5">
      <c r="A54" s="100">
        <f t="shared" si="2"/>
        <v>0.47</v>
      </c>
      <c r="B54" t="s">
        <v>93</v>
      </c>
      <c r="D54" s="102">
        <f t="shared" si="3"/>
        <v>47</v>
      </c>
      <c r="E54" t="s">
        <v>94</v>
      </c>
    </row>
    <row r="55" spans="1:5">
      <c r="A55" s="100">
        <f t="shared" si="2"/>
        <v>0.48</v>
      </c>
      <c r="B55" t="s">
        <v>95</v>
      </c>
      <c r="D55" s="102">
        <f t="shared" si="3"/>
        <v>48</v>
      </c>
      <c r="E55" t="s">
        <v>96</v>
      </c>
    </row>
    <row r="56" spans="1:5">
      <c r="A56" s="100">
        <f t="shared" si="2"/>
        <v>0.49</v>
      </c>
      <c r="B56" t="s">
        <v>97</v>
      </c>
      <c r="D56" s="102">
        <f t="shared" si="3"/>
        <v>49</v>
      </c>
      <c r="E56" t="s">
        <v>98</v>
      </c>
    </row>
    <row r="57" spans="1:5">
      <c r="A57" s="100">
        <f t="shared" si="2"/>
        <v>0.5</v>
      </c>
      <c r="B57" t="s">
        <v>99</v>
      </c>
      <c r="D57" s="102">
        <f t="shared" si="3"/>
        <v>50</v>
      </c>
      <c r="E57" t="s">
        <v>100</v>
      </c>
    </row>
    <row r="58" spans="1:5">
      <c r="A58" s="100">
        <f t="shared" si="2"/>
        <v>0.51</v>
      </c>
      <c r="B58" t="s">
        <v>101</v>
      </c>
      <c r="D58" s="102">
        <f t="shared" si="3"/>
        <v>51</v>
      </c>
      <c r="E58" t="s">
        <v>102</v>
      </c>
    </row>
    <row r="59" spans="1:5">
      <c r="A59" s="100">
        <f t="shared" si="2"/>
        <v>0.52</v>
      </c>
      <c r="B59" t="s">
        <v>103</v>
      </c>
      <c r="D59" s="102">
        <f t="shared" si="3"/>
        <v>52</v>
      </c>
      <c r="E59" t="s">
        <v>104</v>
      </c>
    </row>
    <row r="60" spans="1:5">
      <c r="A60" s="100">
        <f t="shared" si="2"/>
        <v>0.53</v>
      </c>
      <c r="B60" t="s">
        <v>105</v>
      </c>
      <c r="D60" s="102">
        <f t="shared" si="3"/>
        <v>53</v>
      </c>
      <c r="E60" t="s">
        <v>106</v>
      </c>
    </row>
    <row r="61" spans="1:5">
      <c r="A61" s="100">
        <f t="shared" si="2"/>
        <v>0.54</v>
      </c>
      <c r="B61" t="s">
        <v>107</v>
      </c>
      <c r="D61" s="102">
        <f t="shared" si="3"/>
        <v>54</v>
      </c>
      <c r="E61" t="s">
        <v>108</v>
      </c>
    </row>
    <row r="62" spans="1:5">
      <c r="A62" s="100">
        <f t="shared" si="2"/>
        <v>0.55000000000000004</v>
      </c>
      <c r="B62" t="s">
        <v>109</v>
      </c>
      <c r="D62" s="102">
        <f t="shared" si="3"/>
        <v>55</v>
      </c>
      <c r="E62" t="s">
        <v>110</v>
      </c>
    </row>
    <row r="63" spans="1:5">
      <c r="A63" s="100">
        <f t="shared" si="2"/>
        <v>0.56000000000000005</v>
      </c>
      <c r="B63" t="s">
        <v>111</v>
      </c>
      <c r="D63" s="102">
        <f t="shared" si="3"/>
        <v>56</v>
      </c>
      <c r="E63" t="s">
        <v>112</v>
      </c>
    </row>
    <row r="64" spans="1:5">
      <c r="A64" s="100">
        <f t="shared" si="2"/>
        <v>0.56999999999999995</v>
      </c>
      <c r="B64" t="s">
        <v>113</v>
      </c>
      <c r="D64" s="102">
        <f t="shared" si="3"/>
        <v>57</v>
      </c>
      <c r="E64" t="s">
        <v>114</v>
      </c>
    </row>
    <row r="65" spans="1:5">
      <c r="A65" s="100">
        <f t="shared" si="2"/>
        <v>0.57999999999999996</v>
      </c>
      <c r="B65" t="s">
        <v>115</v>
      </c>
      <c r="D65" s="102">
        <f t="shared" si="3"/>
        <v>58</v>
      </c>
      <c r="E65" t="s">
        <v>116</v>
      </c>
    </row>
    <row r="66" spans="1:5">
      <c r="A66" s="100">
        <f t="shared" si="2"/>
        <v>0.59</v>
      </c>
      <c r="B66" t="s">
        <v>117</v>
      </c>
      <c r="D66" s="102">
        <f t="shared" si="3"/>
        <v>59</v>
      </c>
      <c r="E66" t="s">
        <v>118</v>
      </c>
    </row>
    <row r="67" spans="1:5">
      <c r="A67" s="100">
        <f t="shared" si="2"/>
        <v>0.6</v>
      </c>
      <c r="B67" t="s">
        <v>119</v>
      </c>
      <c r="D67" s="102">
        <f t="shared" si="3"/>
        <v>60</v>
      </c>
      <c r="E67" t="s">
        <v>120</v>
      </c>
    </row>
    <row r="68" spans="1:5">
      <c r="A68" s="100">
        <f t="shared" si="2"/>
        <v>0.61</v>
      </c>
      <c r="B68" t="s">
        <v>121</v>
      </c>
      <c r="D68" s="102">
        <f t="shared" si="3"/>
        <v>61</v>
      </c>
      <c r="E68" t="s">
        <v>122</v>
      </c>
    </row>
    <row r="69" spans="1:5">
      <c r="A69" s="100">
        <f t="shared" si="2"/>
        <v>0.62</v>
      </c>
      <c r="B69" t="s">
        <v>123</v>
      </c>
      <c r="D69" s="102">
        <f t="shared" si="3"/>
        <v>62</v>
      </c>
      <c r="E69" t="s">
        <v>124</v>
      </c>
    </row>
    <row r="70" spans="1:5">
      <c r="A70" s="100">
        <f t="shared" si="2"/>
        <v>0.63</v>
      </c>
      <c r="B70" t="s">
        <v>125</v>
      </c>
      <c r="D70" s="102">
        <f t="shared" si="3"/>
        <v>63</v>
      </c>
      <c r="E70" t="s">
        <v>126</v>
      </c>
    </row>
    <row r="71" spans="1:5">
      <c r="A71" s="100">
        <f t="shared" si="2"/>
        <v>0.64</v>
      </c>
      <c r="B71" t="s">
        <v>127</v>
      </c>
      <c r="D71" s="102">
        <f t="shared" si="3"/>
        <v>64</v>
      </c>
      <c r="E71" t="s">
        <v>128</v>
      </c>
    </row>
    <row r="72" spans="1:5">
      <c r="A72" s="100">
        <f t="shared" si="2"/>
        <v>0.65</v>
      </c>
      <c r="B72" t="s">
        <v>129</v>
      </c>
      <c r="D72" s="102">
        <f t="shared" si="3"/>
        <v>65</v>
      </c>
      <c r="E72" t="s">
        <v>130</v>
      </c>
    </row>
    <row r="73" spans="1:5">
      <c r="A73" s="100">
        <f t="shared" si="2"/>
        <v>0.66</v>
      </c>
      <c r="B73" t="s">
        <v>131</v>
      </c>
      <c r="D73" s="102">
        <f t="shared" si="3"/>
        <v>66</v>
      </c>
      <c r="E73" t="s">
        <v>132</v>
      </c>
    </row>
    <row r="74" spans="1:5">
      <c r="A74" s="100">
        <f t="shared" si="2"/>
        <v>0.67</v>
      </c>
      <c r="B74" t="s">
        <v>133</v>
      </c>
      <c r="D74" s="102">
        <f t="shared" si="3"/>
        <v>67</v>
      </c>
      <c r="E74" t="s">
        <v>134</v>
      </c>
    </row>
    <row r="75" spans="1:5">
      <c r="A75" s="100">
        <f t="shared" si="2"/>
        <v>0.68</v>
      </c>
      <c r="B75" t="s">
        <v>135</v>
      </c>
      <c r="D75" s="102">
        <f t="shared" si="3"/>
        <v>68</v>
      </c>
      <c r="E75" t="s">
        <v>136</v>
      </c>
    </row>
    <row r="76" spans="1:5">
      <c r="A76" s="100">
        <f t="shared" si="2"/>
        <v>0.69</v>
      </c>
      <c r="B76" t="s">
        <v>137</v>
      </c>
      <c r="D76" s="102">
        <f t="shared" si="3"/>
        <v>69</v>
      </c>
      <c r="E76" t="s">
        <v>138</v>
      </c>
    </row>
    <row r="77" spans="1:5">
      <c r="A77" s="100">
        <f t="shared" si="2"/>
        <v>0.7</v>
      </c>
      <c r="B77" t="s">
        <v>139</v>
      </c>
      <c r="D77" s="102">
        <f t="shared" si="3"/>
        <v>70</v>
      </c>
      <c r="E77" t="s">
        <v>140</v>
      </c>
    </row>
    <row r="78" spans="1:5">
      <c r="A78" s="100">
        <f t="shared" si="2"/>
        <v>0.71</v>
      </c>
      <c r="B78" t="s">
        <v>141</v>
      </c>
      <c r="D78" s="102">
        <f t="shared" si="3"/>
        <v>71</v>
      </c>
      <c r="E78" t="s">
        <v>142</v>
      </c>
    </row>
    <row r="79" spans="1:5">
      <c r="A79" s="100">
        <f t="shared" si="2"/>
        <v>0.72</v>
      </c>
      <c r="B79" t="s">
        <v>143</v>
      </c>
      <c r="D79" s="102">
        <f t="shared" si="3"/>
        <v>72</v>
      </c>
      <c r="E79" t="s">
        <v>144</v>
      </c>
    </row>
    <row r="80" spans="1:5">
      <c r="A80" s="100">
        <f t="shared" si="2"/>
        <v>0.73</v>
      </c>
      <c r="B80" t="s">
        <v>145</v>
      </c>
      <c r="D80" s="102">
        <f t="shared" si="3"/>
        <v>73</v>
      </c>
      <c r="E80" t="s">
        <v>146</v>
      </c>
    </row>
    <row r="81" spans="1:5">
      <c r="A81" s="100">
        <f t="shared" si="2"/>
        <v>0.74</v>
      </c>
      <c r="B81" t="s">
        <v>147</v>
      </c>
      <c r="D81" s="102">
        <f t="shared" si="3"/>
        <v>74</v>
      </c>
      <c r="E81" t="s">
        <v>148</v>
      </c>
    </row>
    <row r="82" spans="1:5">
      <c r="A82" s="100">
        <f t="shared" ref="A82:A106" si="4">ROUND(A81+0.01,2)</f>
        <v>0.75</v>
      </c>
      <c r="B82" t="s">
        <v>149</v>
      </c>
      <c r="D82" s="102">
        <f t="shared" si="3"/>
        <v>75</v>
      </c>
      <c r="E82" t="s">
        <v>150</v>
      </c>
    </row>
    <row r="83" spans="1:5">
      <c r="A83" s="100">
        <f t="shared" si="4"/>
        <v>0.76</v>
      </c>
      <c r="B83" t="s">
        <v>151</v>
      </c>
      <c r="D83" s="102">
        <f t="shared" ref="D83:D114" si="5">D82+1</f>
        <v>76</v>
      </c>
      <c r="E83" t="s">
        <v>152</v>
      </c>
    </row>
    <row r="84" spans="1:5">
      <c r="A84" s="100">
        <f t="shared" si="4"/>
        <v>0.77</v>
      </c>
      <c r="B84" t="s">
        <v>153</v>
      </c>
      <c r="D84" s="102">
        <f t="shared" si="5"/>
        <v>77</v>
      </c>
      <c r="E84" t="s">
        <v>154</v>
      </c>
    </row>
    <row r="85" spans="1:5">
      <c r="A85" s="100">
        <f t="shared" si="4"/>
        <v>0.78</v>
      </c>
      <c r="B85" t="s">
        <v>155</v>
      </c>
      <c r="D85" s="102">
        <f t="shared" si="5"/>
        <v>78</v>
      </c>
      <c r="E85" t="s">
        <v>156</v>
      </c>
    </row>
    <row r="86" spans="1:5">
      <c r="A86" s="100">
        <f t="shared" si="4"/>
        <v>0.79</v>
      </c>
      <c r="B86" t="s">
        <v>157</v>
      </c>
      <c r="D86" s="102">
        <f t="shared" si="5"/>
        <v>79</v>
      </c>
      <c r="E86" t="s">
        <v>158</v>
      </c>
    </row>
    <row r="87" spans="1:5">
      <c r="A87" s="100">
        <f t="shared" si="4"/>
        <v>0.8</v>
      </c>
      <c r="B87" t="s">
        <v>159</v>
      </c>
      <c r="D87" s="102">
        <f t="shared" si="5"/>
        <v>80</v>
      </c>
      <c r="E87" t="s">
        <v>160</v>
      </c>
    </row>
    <row r="88" spans="1:5">
      <c r="A88" s="100">
        <f t="shared" si="4"/>
        <v>0.81</v>
      </c>
      <c r="B88" t="s">
        <v>161</v>
      </c>
      <c r="D88" s="102">
        <f t="shared" si="5"/>
        <v>81</v>
      </c>
      <c r="E88" t="s">
        <v>162</v>
      </c>
    </row>
    <row r="89" spans="1:5">
      <c r="A89" s="100">
        <f t="shared" si="4"/>
        <v>0.82</v>
      </c>
      <c r="B89" t="s">
        <v>163</v>
      </c>
      <c r="D89" s="102">
        <f t="shared" si="5"/>
        <v>82</v>
      </c>
      <c r="E89" t="s">
        <v>164</v>
      </c>
    </row>
    <row r="90" spans="1:5">
      <c r="A90" s="100">
        <f t="shared" si="4"/>
        <v>0.83</v>
      </c>
      <c r="B90" t="s">
        <v>165</v>
      </c>
      <c r="D90" s="102">
        <f t="shared" si="5"/>
        <v>83</v>
      </c>
      <c r="E90" t="s">
        <v>166</v>
      </c>
    </row>
    <row r="91" spans="1:5">
      <c r="A91" s="100">
        <f t="shared" si="4"/>
        <v>0.84</v>
      </c>
      <c r="B91" t="s">
        <v>167</v>
      </c>
      <c r="D91" s="102">
        <f t="shared" si="5"/>
        <v>84</v>
      </c>
      <c r="E91" t="s">
        <v>168</v>
      </c>
    </row>
    <row r="92" spans="1:5">
      <c r="A92" s="100">
        <f t="shared" si="4"/>
        <v>0.85</v>
      </c>
      <c r="B92" t="s">
        <v>169</v>
      </c>
      <c r="D92" s="102">
        <f t="shared" si="5"/>
        <v>85</v>
      </c>
      <c r="E92" t="s">
        <v>170</v>
      </c>
    </row>
    <row r="93" spans="1:5">
      <c r="A93" s="100">
        <f t="shared" si="4"/>
        <v>0.86</v>
      </c>
      <c r="B93" t="s">
        <v>171</v>
      </c>
      <c r="D93" s="102">
        <f t="shared" si="5"/>
        <v>86</v>
      </c>
      <c r="E93" t="s">
        <v>172</v>
      </c>
    </row>
    <row r="94" spans="1:5">
      <c r="A94" s="100">
        <f t="shared" si="4"/>
        <v>0.87</v>
      </c>
      <c r="B94" t="s">
        <v>173</v>
      </c>
      <c r="D94" s="102">
        <f t="shared" si="5"/>
        <v>87</v>
      </c>
      <c r="E94" t="s">
        <v>174</v>
      </c>
    </row>
    <row r="95" spans="1:5">
      <c r="A95" s="100">
        <f t="shared" si="4"/>
        <v>0.88</v>
      </c>
      <c r="B95" t="s">
        <v>175</v>
      </c>
      <c r="D95" s="102">
        <f t="shared" si="5"/>
        <v>88</v>
      </c>
      <c r="E95" t="s">
        <v>176</v>
      </c>
    </row>
    <row r="96" spans="1:5">
      <c r="A96" s="100">
        <f t="shared" si="4"/>
        <v>0.89</v>
      </c>
      <c r="B96" t="s">
        <v>177</v>
      </c>
      <c r="D96" s="102">
        <f t="shared" si="5"/>
        <v>89</v>
      </c>
      <c r="E96" t="s">
        <v>178</v>
      </c>
    </row>
    <row r="97" spans="1:5">
      <c r="A97" s="100">
        <f t="shared" si="4"/>
        <v>0.9</v>
      </c>
      <c r="B97" t="s">
        <v>179</v>
      </c>
      <c r="D97" s="102">
        <f t="shared" si="5"/>
        <v>90</v>
      </c>
      <c r="E97" t="s">
        <v>180</v>
      </c>
    </row>
    <row r="98" spans="1:5">
      <c r="A98" s="100">
        <f t="shared" si="4"/>
        <v>0.91</v>
      </c>
      <c r="B98" t="s">
        <v>181</v>
      </c>
      <c r="D98" s="102">
        <f t="shared" si="5"/>
        <v>91</v>
      </c>
      <c r="E98" t="s">
        <v>182</v>
      </c>
    </row>
    <row r="99" spans="1:5">
      <c r="A99" s="100">
        <f t="shared" si="4"/>
        <v>0.92</v>
      </c>
      <c r="B99" t="s">
        <v>183</v>
      </c>
      <c r="D99" s="102">
        <f t="shared" si="5"/>
        <v>92</v>
      </c>
      <c r="E99" t="s">
        <v>184</v>
      </c>
    </row>
    <row r="100" spans="1:5">
      <c r="A100" s="100">
        <f t="shared" si="4"/>
        <v>0.93</v>
      </c>
      <c r="B100" t="s">
        <v>185</v>
      </c>
      <c r="D100" s="102">
        <f t="shared" si="5"/>
        <v>93</v>
      </c>
      <c r="E100" t="s">
        <v>186</v>
      </c>
    </row>
    <row r="101" spans="1:5">
      <c r="A101" s="100">
        <f t="shared" si="4"/>
        <v>0.94</v>
      </c>
      <c r="B101" t="s">
        <v>187</v>
      </c>
      <c r="D101" s="102">
        <f t="shared" si="5"/>
        <v>94</v>
      </c>
      <c r="E101" t="s">
        <v>188</v>
      </c>
    </row>
    <row r="102" spans="1:5">
      <c r="A102" s="100">
        <f t="shared" si="4"/>
        <v>0.95</v>
      </c>
      <c r="B102" t="s">
        <v>189</v>
      </c>
      <c r="D102" s="102">
        <f t="shared" si="5"/>
        <v>95</v>
      </c>
      <c r="E102" t="s">
        <v>190</v>
      </c>
    </row>
    <row r="103" spans="1:5">
      <c r="A103" s="100">
        <f t="shared" si="4"/>
        <v>0.96</v>
      </c>
      <c r="B103" t="s">
        <v>191</v>
      </c>
      <c r="D103" s="102">
        <f t="shared" si="5"/>
        <v>96</v>
      </c>
      <c r="E103" t="s">
        <v>192</v>
      </c>
    </row>
    <row r="104" spans="1:5">
      <c r="A104" s="100">
        <f t="shared" si="4"/>
        <v>0.97</v>
      </c>
      <c r="B104" t="s">
        <v>193</v>
      </c>
      <c r="D104" s="102">
        <f t="shared" si="5"/>
        <v>97</v>
      </c>
      <c r="E104" t="s">
        <v>194</v>
      </c>
    </row>
    <row r="105" spans="1:5">
      <c r="A105" s="100">
        <f t="shared" si="4"/>
        <v>0.98</v>
      </c>
      <c r="B105" t="s">
        <v>195</v>
      </c>
      <c r="D105" s="102">
        <f t="shared" si="5"/>
        <v>98</v>
      </c>
      <c r="E105" t="s">
        <v>196</v>
      </c>
    </row>
    <row r="106" spans="1:5">
      <c r="A106" s="100">
        <f t="shared" si="4"/>
        <v>0.99</v>
      </c>
      <c r="B106" t="s">
        <v>197</v>
      </c>
      <c r="D106" s="102">
        <f t="shared" si="5"/>
        <v>99</v>
      </c>
      <c r="E106" t="s">
        <v>198</v>
      </c>
    </row>
    <row r="107" spans="1:5">
      <c r="D107" s="102">
        <f t="shared" si="5"/>
        <v>100</v>
      </c>
      <c r="E107" t="s">
        <v>199</v>
      </c>
    </row>
    <row r="108" spans="1:5">
      <c r="A108" s="100"/>
      <c r="D108" s="102">
        <f t="shared" si="5"/>
        <v>101</v>
      </c>
      <c r="E108" t="s">
        <v>200</v>
      </c>
    </row>
    <row r="109" spans="1:5">
      <c r="A109" s="100"/>
      <c r="D109" s="102">
        <f t="shared" si="5"/>
        <v>102</v>
      </c>
      <c r="E109" t="s">
        <v>201</v>
      </c>
    </row>
    <row r="110" spans="1:5">
      <c r="A110" s="100"/>
      <c r="D110" s="102">
        <f t="shared" si="5"/>
        <v>103</v>
      </c>
      <c r="E110" t="s">
        <v>202</v>
      </c>
    </row>
    <row r="111" spans="1:5">
      <c r="A111" s="100"/>
      <c r="D111" s="102">
        <f t="shared" si="5"/>
        <v>104</v>
      </c>
      <c r="E111" t="s">
        <v>203</v>
      </c>
    </row>
    <row r="112" spans="1:5">
      <c r="A112" s="100"/>
      <c r="D112" s="102">
        <f t="shared" si="5"/>
        <v>105</v>
      </c>
      <c r="E112" t="s">
        <v>204</v>
      </c>
    </row>
    <row r="113" spans="1:5">
      <c r="A113" s="100"/>
      <c r="D113" s="102">
        <f t="shared" si="5"/>
        <v>106</v>
      </c>
      <c r="E113" t="s">
        <v>205</v>
      </c>
    </row>
    <row r="114" spans="1:5">
      <c r="A114" s="100"/>
      <c r="D114" s="102">
        <f t="shared" si="5"/>
        <v>107</v>
      </c>
      <c r="E114" t="s">
        <v>206</v>
      </c>
    </row>
    <row r="115" spans="1:5">
      <c r="A115" s="100"/>
      <c r="D115" s="102">
        <f t="shared" ref="D115:D146" si="6">D114+1</f>
        <v>108</v>
      </c>
      <c r="E115" t="s">
        <v>207</v>
      </c>
    </row>
    <row r="116" spans="1:5">
      <c r="A116" s="100"/>
      <c r="D116" s="102">
        <f t="shared" si="6"/>
        <v>109</v>
      </c>
      <c r="E116" t="s">
        <v>208</v>
      </c>
    </row>
    <row r="117" spans="1:5">
      <c r="A117" s="100"/>
      <c r="D117" s="102">
        <f t="shared" si="6"/>
        <v>110</v>
      </c>
      <c r="E117" t="s">
        <v>209</v>
      </c>
    </row>
    <row r="118" spans="1:5">
      <c r="A118" s="100"/>
      <c r="D118" s="102">
        <f t="shared" si="6"/>
        <v>111</v>
      </c>
      <c r="E118" t="s">
        <v>210</v>
      </c>
    </row>
    <row r="119" spans="1:5">
      <c r="A119" s="100"/>
      <c r="D119" s="102">
        <f t="shared" si="6"/>
        <v>112</v>
      </c>
      <c r="E119" t="s">
        <v>211</v>
      </c>
    </row>
    <row r="120" spans="1:5">
      <c r="A120" s="100"/>
      <c r="D120" s="102">
        <f t="shared" si="6"/>
        <v>113</v>
      </c>
      <c r="E120" t="s">
        <v>212</v>
      </c>
    </row>
    <row r="121" spans="1:5">
      <c r="A121" s="100"/>
      <c r="D121" s="102">
        <f t="shared" si="6"/>
        <v>114</v>
      </c>
      <c r="E121" t="s">
        <v>213</v>
      </c>
    </row>
    <row r="122" spans="1:5">
      <c r="A122" s="100"/>
      <c r="D122" s="102">
        <f t="shared" si="6"/>
        <v>115</v>
      </c>
      <c r="E122" t="s">
        <v>214</v>
      </c>
    </row>
    <row r="123" spans="1:5">
      <c r="A123" s="100"/>
      <c r="D123" s="102">
        <f t="shared" si="6"/>
        <v>116</v>
      </c>
      <c r="E123" t="s">
        <v>215</v>
      </c>
    </row>
    <row r="124" spans="1:5">
      <c r="A124" s="100"/>
      <c r="D124" s="102">
        <f t="shared" si="6"/>
        <v>117</v>
      </c>
      <c r="E124" t="s">
        <v>216</v>
      </c>
    </row>
    <row r="125" spans="1:5">
      <c r="A125" s="100"/>
      <c r="D125" s="102">
        <f t="shared" si="6"/>
        <v>118</v>
      </c>
      <c r="E125" t="s">
        <v>217</v>
      </c>
    </row>
    <row r="126" spans="1:5">
      <c r="A126" s="100"/>
      <c r="D126" s="102">
        <f t="shared" si="6"/>
        <v>119</v>
      </c>
      <c r="E126" t="s">
        <v>218</v>
      </c>
    </row>
    <row r="127" spans="1:5">
      <c r="A127" s="100"/>
      <c r="D127" s="102">
        <f t="shared" si="6"/>
        <v>120</v>
      </c>
      <c r="E127" t="s">
        <v>219</v>
      </c>
    </row>
    <row r="128" spans="1:5">
      <c r="A128" s="100"/>
      <c r="D128" s="102">
        <f t="shared" si="6"/>
        <v>121</v>
      </c>
      <c r="E128" t="s">
        <v>220</v>
      </c>
    </row>
    <row r="129" spans="1:5">
      <c r="A129" s="100"/>
      <c r="D129" s="102">
        <f t="shared" si="6"/>
        <v>122</v>
      </c>
      <c r="E129" t="s">
        <v>221</v>
      </c>
    </row>
    <row r="130" spans="1:5">
      <c r="A130" s="100"/>
      <c r="D130" s="102">
        <f t="shared" si="6"/>
        <v>123</v>
      </c>
      <c r="E130" t="s">
        <v>222</v>
      </c>
    </row>
    <row r="131" spans="1:5">
      <c r="A131" s="100"/>
      <c r="D131" s="102">
        <f t="shared" si="6"/>
        <v>124</v>
      </c>
      <c r="E131" t="s">
        <v>223</v>
      </c>
    </row>
    <row r="132" spans="1:5">
      <c r="A132" s="100"/>
      <c r="D132" s="102">
        <f t="shared" si="6"/>
        <v>125</v>
      </c>
      <c r="E132" t="s">
        <v>224</v>
      </c>
    </row>
    <row r="133" spans="1:5">
      <c r="A133" s="100"/>
      <c r="D133" s="102">
        <f t="shared" si="6"/>
        <v>126</v>
      </c>
      <c r="E133" t="s">
        <v>225</v>
      </c>
    </row>
    <row r="134" spans="1:5">
      <c r="A134" s="100"/>
      <c r="D134" s="102">
        <f t="shared" si="6"/>
        <v>127</v>
      </c>
      <c r="E134" t="s">
        <v>226</v>
      </c>
    </row>
    <row r="135" spans="1:5">
      <c r="A135" s="100"/>
      <c r="D135" s="102">
        <f t="shared" si="6"/>
        <v>128</v>
      </c>
      <c r="E135" t="s">
        <v>227</v>
      </c>
    </row>
    <row r="136" spans="1:5">
      <c r="A136" s="100"/>
      <c r="D136" s="102">
        <f t="shared" si="6"/>
        <v>129</v>
      </c>
      <c r="E136" t="s">
        <v>228</v>
      </c>
    </row>
    <row r="137" spans="1:5">
      <c r="A137" s="100"/>
      <c r="D137" s="102">
        <f t="shared" si="6"/>
        <v>130</v>
      </c>
      <c r="E137" t="s">
        <v>229</v>
      </c>
    </row>
    <row r="138" spans="1:5">
      <c r="A138" s="100"/>
      <c r="D138" s="102">
        <f t="shared" si="6"/>
        <v>131</v>
      </c>
      <c r="E138" t="s">
        <v>230</v>
      </c>
    </row>
    <row r="139" spans="1:5">
      <c r="A139" s="100"/>
      <c r="D139" s="102">
        <f t="shared" si="6"/>
        <v>132</v>
      </c>
      <c r="E139" t="s">
        <v>231</v>
      </c>
    </row>
    <row r="140" spans="1:5">
      <c r="A140" s="100"/>
      <c r="D140" s="102">
        <f t="shared" si="6"/>
        <v>133</v>
      </c>
      <c r="E140" t="s">
        <v>232</v>
      </c>
    </row>
    <row r="141" spans="1:5">
      <c r="A141" s="100"/>
      <c r="D141" s="102">
        <f t="shared" si="6"/>
        <v>134</v>
      </c>
      <c r="E141" t="s">
        <v>233</v>
      </c>
    </row>
    <row r="142" spans="1:5">
      <c r="A142" s="100"/>
      <c r="D142" s="102">
        <f t="shared" si="6"/>
        <v>135</v>
      </c>
      <c r="E142" t="s">
        <v>234</v>
      </c>
    </row>
    <row r="143" spans="1:5">
      <c r="A143" s="100"/>
      <c r="D143" s="102">
        <f t="shared" si="6"/>
        <v>136</v>
      </c>
      <c r="E143" t="s">
        <v>235</v>
      </c>
    </row>
    <row r="144" spans="1:5">
      <c r="A144" s="100"/>
      <c r="D144" s="102">
        <f t="shared" si="6"/>
        <v>137</v>
      </c>
      <c r="E144" t="s">
        <v>236</v>
      </c>
    </row>
    <row r="145" spans="1:5">
      <c r="A145" s="100"/>
      <c r="D145" s="102">
        <f t="shared" si="6"/>
        <v>138</v>
      </c>
      <c r="E145" t="s">
        <v>237</v>
      </c>
    </row>
    <row r="146" spans="1:5">
      <c r="A146" s="100"/>
      <c r="D146" s="102">
        <f t="shared" si="6"/>
        <v>139</v>
      </c>
      <c r="E146" t="s">
        <v>238</v>
      </c>
    </row>
    <row r="147" spans="1:5">
      <c r="A147" s="100"/>
      <c r="D147" s="102">
        <f t="shared" ref="D147:D157" si="7">D146+1</f>
        <v>140</v>
      </c>
      <c r="E147" t="s">
        <v>239</v>
      </c>
    </row>
    <row r="148" spans="1:5">
      <c r="A148" s="100"/>
      <c r="D148" s="102">
        <f t="shared" si="7"/>
        <v>141</v>
      </c>
      <c r="E148" t="s">
        <v>240</v>
      </c>
    </row>
    <row r="149" spans="1:5">
      <c r="A149" s="100"/>
      <c r="D149" s="102">
        <f t="shared" si="7"/>
        <v>142</v>
      </c>
      <c r="E149" t="s">
        <v>241</v>
      </c>
    </row>
    <row r="150" spans="1:5">
      <c r="A150" s="100"/>
      <c r="D150" s="102">
        <f t="shared" si="7"/>
        <v>143</v>
      </c>
      <c r="E150" t="s">
        <v>242</v>
      </c>
    </row>
    <row r="151" spans="1:5">
      <c r="A151" s="100"/>
      <c r="D151" s="102">
        <f t="shared" si="7"/>
        <v>144</v>
      </c>
      <c r="E151" t="s">
        <v>243</v>
      </c>
    </row>
    <row r="152" spans="1:5">
      <c r="A152" s="100"/>
      <c r="D152" s="102">
        <f t="shared" si="7"/>
        <v>145</v>
      </c>
      <c r="E152" t="s">
        <v>244</v>
      </c>
    </row>
    <row r="153" spans="1:5">
      <c r="A153" s="100"/>
      <c r="D153" s="102">
        <f t="shared" si="7"/>
        <v>146</v>
      </c>
      <c r="E153" t="s">
        <v>245</v>
      </c>
    </row>
    <row r="154" spans="1:5">
      <c r="A154" s="100"/>
      <c r="D154" s="102">
        <f t="shared" si="7"/>
        <v>147</v>
      </c>
      <c r="E154" t="s">
        <v>246</v>
      </c>
    </row>
    <row r="155" spans="1:5">
      <c r="A155" s="100"/>
      <c r="D155" s="102">
        <f t="shared" si="7"/>
        <v>148</v>
      </c>
      <c r="E155" t="s">
        <v>247</v>
      </c>
    </row>
    <row r="156" spans="1:5">
      <c r="A156" s="100"/>
      <c r="D156" s="102">
        <f t="shared" si="7"/>
        <v>149</v>
      </c>
      <c r="E156" t="s">
        <v>248</v>
      </c>
    </row>
    <row r="157" spans="1:5">
      <c r="A157" s="100"/>
      <c r="D157" s="102">
        <f t="shared" si="7"/>
        <v>150</v>
      </c>
      <c r="E157" t="s">
        <v>249</v>
      </c>
    </row>
    <row r="160" spans="1:5">
      <c r="A160" s="102" t="s">
        <v>250</v>
      </c>
      <c r="B160" s="102" t="s">
        <v>251</v>
      </c>
    </row>
    <row r="161" spans="1:2">
      <c r="A161" s="99">
        <v>50</v>
      </c>
      <c r="B161" s="99">
        <v>2</v>
      </c>
    </row>
    <row r="162" spans="1:2">
      <c r="A162" s="99">
        <v>50.1</v>
      </c>
      <c r="B162" s="99">
        <v>5</v>
      </c>
    </row>
    <row r="163" spans="1:2">
      <c r="A163" s="99">
        <v>50.2</v>
      </c>
      <c r="B163" s="99">
        <v>2</v>
      </c>
    </row>
    <row r="164" spans="1:2">
      <c r="A164" s="99">
        <v>50.3</v>
      </c>
      <c r="B164" s="99">
        <v>2</v>
      </c>
    </row>
    <row r="165" spans="1:2">
      <c r="A165" s="99">
        <v>50.4</v>
      </c>
      <c r="B165" s="99">
        <v>2</v>
      </c>
    </row>
    <row r="166" spans="1:2">
      <c r="A166" s="99">
        <v>50.5</v>
      </c>
      <c r="B166" s="99">
        <v>2</v>
      </c>
    </row>
    <row r="167" spans="1:2">
      <c r="A167" s="99">
        <v>50.6</v>
      </c>
      <c r="B167" s="99">
        <v>2</v>
      </c>
    </row>
    <row r="168" spans="1:2">
      <c r="A168" s="99">
        <v>50.7</v>
      </c>
      <c r="B168" s="99">
        <v>2</v>
      </c>
    </row>
    <row r="169" spans="1:2">
      <c r="A169" s="99">
        <v>50.8</v>
      </c>
      <c r="B169" s="99">
        <v>2</v>
      </c>
    </row>
    <row r="170" spans="1:2">
      <c r="A170" s="99">
        <v>50.9</v>
      </c>
      <c r="B170" s="99">
        <v>2</v>
      </c>
    </row>
    <row r="171" spans="1:2">
      <c r="A171" s="99">
        <v>51</v>
      </c>
      <c r="B171" s="99">
        <v>2</v>
      </c>
    </row>
    <row r="172" spans="1:2">
      <c r="A172" s="99">
        <v>51.1</v>
      </c>
      <c r="B172" s="99">
        <v>2</v>
      </c>
    </row>
    <row r="173" spans="1:2">
      <c r="A173" s="99">
        <v>51.2</v>
      </c>
      <c r="B173" s="99">
        <v>2</v>
      </c>
    </row>
    <row r="174" spans="1:2">
      <c r="A174" s="99">
        <v>51.3</v>
      </c>
      <c r="B174" s="99">
        <v>2</v>
      </c>
    </row>
    <row r="175" spans="1:2">
      <c r="A175" s="99">
        <v>51.4</v>
      </c>
      <c r="B175" s="99">
        <v>2</v>
      </c>
    </row>
    <row r="176" spans="1:2">
      <c r="A176" s="99">
        <v>51.5</v>
      </c>
      <c r="B176" s="99">
        <v>2.1</v>
      </c>
    </row>
    <row r="177" spans="1:2">
      <c r="A177" s="99">
        <v>51.6</v>
      </c>
      <c r="B177" s="99">
        <v>2.1</v>
      </c>
    </row>
    <row r="178" spans="1:2">
      <c r="A178" s="99">
        <v>51.7</v>
      </c>
      <c r="B178" s="99">
        <v>2.1</v>
      </c>
    </row>
    <row r="179" spans="1:2">
      <c r="A179" s="99">
        <v>51.8</v>
      </c>
      <c r="B179" s="99">
        <v>2.1</v>
      </c>
    </row>
    <row r="180" spans="1:2">
      <c r="A180" s="99">
        <v>51.9</v>
      </c>
      <c r="B180" s="99">
        <v>2.1</v>
      </c>
    </row>
    <row r="181" spans="1:2">
      <c r="A181" s="99">
        <v>52</v>
      </c>
      <c r="B181" s="99">
        <v>2.1</v>
      </c>
    </row>
    <row r="182" spans="1:2">
      <c r="A182" s="99">
        <v>52.1</v>
      </c>
      <c r="B182" s="99">
        <v>2.1</v>
      </c>
    </row>
    <row r="183" spans="1:2">
      <c r="A183" s="99">
        <v>52.2</v>
      </c>
      <c r="B183" s="99">
        <v>2.1</v>
      </c>
    </row>
    <row r="184" spans="1:2">
      <c r="A184" s="99">
        <v>52.3</v>
      </c>
      <c r="B184" s="99">
        <v>2.1</v>
      </c>
    </row>
    <row r="185" spans="1:2">
      <c r="A185" s="99">
        <v>52.4</v>
      </c>
      <c r="B185" s="99">
        <v>2.1</v>
      </c>
    </row>
    <row r="186" spans="1:2">
      <c r="A186" s="99">
        <v>52.4</v>
      </c>
      <c r="B186" s="99">
        <v>2.1</v>
      </c>
    </row>
    <row r="187" spans="1:2">
      <c r="A187" s="99">
        <v>52.5</v>
      </c>
      <c r="B187" s="99">
        <v>2.1</v>
      </c>
    </row>
    <row r="188" spans="1:2">
      <c r="A188" s="99">
        <v>52.6</v>
      </c>
      <c r="B188" s="99">
        <v>2.1</v>
      </c>
    </row>
    <row r="189" spans="1:2">
      <c r="A189" s="99">
        <v>52.7</v>
      </c>
      <c r="B189" s="99">
        <v>2.1</v>
      </c>
    </row>
    <row r="190" spans="1:2">
      <c r="A190" s="99">
        <v>52.8</v>
      </c>
      <c r="B190" s="99">
        <v>2.1</v>
      </c>
    </row>
    <row r="191" spans="1:2">
      <c r="A191" s="99">
        <v>52.9</v>
      </c>
      <c r="B191" s="99">
        <v>2.1</v>
      </c>
    </row>
    <row r="192" spans="1:2">
      <c r="A192" s="99">
        <v>53</v>
      </c>
      <c r="B192" s="99">
        <v>2.2000000000000002</v>
      </c>
    </row>
    <row r="193" spans="1:2">
      <c r="A193" s="99">
        <v>53.1</v>
      </c>
      <c r="B193" s="99">
        <v>2.2000000000000002</v>
      </c>
    </row>
    <row r="194" spans="1:2">
      <c r="A194" s="99">
        <v>53.2</v>
      </c>
      <c r="B194" s="99">
        <v>2.2000000000000002</v>
      </c>
    </row>
    <row r="195" spans="1:2">
      <c r="A195" s="99">
        <v>53.3</v>
      </c>
      <c r="B195" s="99">
        <v>2.2000000000000002</v>
      </c>
    </row>
    <row r="196" spans="1:2">
      <c r="A196" s="99">
        <v>53.4</v>
      </c>
      <c r="B196" s="99">
        <v>2.2000000000000002</v>
      </c>
    </row>
    <row r="197" spans="1:2">
      <c r="A197" s="99">
        <v>53.5</v>
      </c>
      <c r="B197" s="99">
        <v>2.2000000000000002</v>
      </c>
    </row>
    <row r="198" spans="1:2">
      <c r="A198" s="99">
        <v>53.6</v>
      </c>
      <c r="B198" s="99">
        <v>2.2000000000000002</v>
      </c>
    </row>
    <row r="199" spans="1:2">
      <c r="A199" s="99">
        <v>53.7</v>
      </c>
      <c r="B199" s="99">
        <v>2.2000000000000002</v>
      </c>
    </row>
    <row r="200" spans="1:2">
      <c r="A200" s="99">
        <v>53.8</v>
      </c>
      <c r="B200" s="99">
        <v>2.2000000000000002</v>
      </c>
    </row>
    <row r="201" spans="1:2">
      <c r="A201" s="99">
        <v>53.9</v>
      </c>
      <c r="B201" s="99">
        <v>2.2000000000000002</v>
      </c>
    </row>
    <row r="202" spans="1:2">
      <c r="A202" s="99">
        <v>54</v>
      </c>
      <c r="B202" s="99">
        <v>2.2000000000000002</v>
      </c>
    </row>
    <row r="203" spans="1:2">
      <c r="A203" s="99">
        <v>54.1</v>
      </c>
      <c r="B203" s="99">
        <v>2.2000000000000002</v>
      </c>
    </row>
    <row r="204" spans="1:2">
      <c r="A204" s="99">
        <v>54.2</v>
      </c>
      <c r="B204" s="99">
        <v>2.2000000000000002</v>
      </c>
    </row>
    <row r="205" spans="1:2">
      <c r="A205" s="99">
        <v>54.3</v>
      </c>
      <c r="B205" s="99">
        <v>2.2000000000000002</v>
      </c>
    </row>
    <row r="206" spans="1:2">
      <c r="A206" s="99">
        <v>54.4</v>
      </c>
      <c r="B206" s="99">
        <v>2.2000000000000002</v>
      </c>
    </row>
    <row r="207" spans="1:2">
      <c r="A207" s="99">
        <v>54.5</v>
      </c>
      <c r="B207" s="99">
        <v>2.2999999999999998</v>
      </c>
    </row>
    <row r="208" spans="1:2">
      <c r="A208" s="99">
        <v>54.6</v>
      </c>
      <c r="B208" s="99">
        <v>2.2999999999999998</v>
      </c>
    </row>
    <row r="209" spans="1:2">
      <c r="A209" s="99">
        <v>54.7</v>
      </c>
      <c r="B209" s="99">
        <v>2.2999999999999998</v>
      </c>
    </row>
    <row r="210" spans="1:2">
      <c r="A210" s="99">
        <v>54.8</v>
      </c>
      <c r="B210" s="99">
        <v>2.2999999999999998</v>
      </c>
    </row>
    <row r="211" spans="1:2">
      <c r="A211" s="99">
        <v>54.9</v>
      </c>
      <c r="B211" s="99">
        <v>2.2999999999999998</v>
      </c>
    </row>
    <row r="212" spans="1:2">
      <c r="A212" s="99">
        <v>55</v>
      </c>
      <c r="B212" s="99">
        <v>2.2999999999999998</v>
      </c>
    </row>
    <row r="213" spans="1:2">
      <c r="A213" s="99">
        <v>55.1</v>
      </c>
      <c r="B213" s="99">
        <v>2.2999999999999998</v>
      </c>
    </row>
    <row r="214" spans="1:2">
      <c r="A214" s="99">
        <v>55.2</v>
      </c>
      <c r="B214" s="99">
        <v>2.2999999999999998</v>
      </c>
    </row>
    <row r="215" spans="1:2">
      <c r="A215" s="99">
        <v>55.3</v>
      </c>
      <c r="B215" s="99">
        <v>2.2999999999999998</v>
      </c>
    </row>
    <row r="216" spans="1:2">
      <c r="A216" s="99">
        <v>55.4</v>
      </c>
      <c r="B216" s="99">
        <v>2.2999999999999998</v>
      </c>
    </row>
    <row r="217" spans="1:2">
      <c r="A217" s="99">
        <v>55.5</v>
      </c>
      <c r="B217" s="99">
        <v>2.2999999999999998</v>
      </c>
    </row>
    <row r="218" spans="1:2">
      <c r="A218" s="99">
        <v>55.6</v>
      </c>
      <c r="B218" s="99">
        <v>2.2999999999999998</v>
      </c>
    </row>
    <row r="219" spans="1:2">
      <c r="A219" s="99">
        <v>55.7</v>
      </c>
      <c r="B219" s="99">
        <v>2.2999999999999998</v>
      </c>
    </row>
    <row r="220" spans="1:2">
      <c r="A220" s="99">
        <v>55.8</v>
      </c>
      <c r="B220" s="99">
        <v>2.2999999999999998</v>
      </c>
    </row>
    <row r="221" spans="1:2">
      <c r="A221" s="99">
        <v>55.9</v>
      </c>
      <c r="B221" s="99">
        <v>2.2999999999999998</v>
      </c>
    </row>
    <row r="222" spans="1:2">
      <c r="A222" s="99">
        <v>56</v>
      </c>
      <c r="B222" s="99">
        <v>2.4</v>
      </c>
    </row>
    <row r="223" spans="1:2">
      <c r="A223" s="99">
        <v>56.1</v>
      </c>
      <c r="B223" s="99">
        <v>2.4</v>
      </c>
    </row>
    <row r="224" spans="1:2">
      <c r="A224" s="99">
        <v>56.2</v>
      </c>
      <c r="B224" s="99">
        <v>2.4</v>
      </c>
    </row>
    <row r="225" spans="1:2">
      <c r="A225" s="99">
        <v>56.3</v>
      </c>
      <c r="B225" s="99">
        <v>2.4</v>
      </c>
    </row>
    <row r="226" spans="1:2">
      <c r="A226" s="99">
        <v>56.4</v>
      </c>
      <c r="B226" s="99">
        <v>2.4</v>
      </c>
    </row>
    <row r="227" spans="1:2">
      <c r="A227" s="99">
        <v>56.5</v>
      </c>
      <c r="B227" s="99">
        <v>2.4</v>
      </c>
    </row>
    <row r="228" spans="1:2">
      <c r="A228" s="99">
        <v>56.6</v>
      </c>
      <c r="B228" s="99">
        <v>2.4</v>
      </c>
    </row>
    <row r="229" spans="1:2">
      <c r="A229" s="99">
        <v>56.7</v>
      </c>
      <c r="B229" s="99">
        <v>2.4</v>
      </c>
    </row>
    <row r="230" spans="1:2">
      <c r="A230" s="99">
        <v>56.8</v>
      </c>
      <c r="B230" s="99">
        <v>2.4</v>
      </c>
    </row>
    <row r="231" spans="1:2">
      <c r="A231" s="99">
        <v>56.9</v>
      </c>
      <c r="B231" s="99">
        <v>2.4</v>
      </c>
    </row>
    <row r="232" spans="1:2">
      <c r="A232" s="99">
        <v>57</v>
      </c>
      <c r="B232" s="99">
        <v>2.4</v>
      </c>
    </row>
    <row r="233" spans="1:2">
      <c r="A233" s="99">
        <v>57.1</v>
      </c>
      <c r="B233" s="99">
        <v>2.4</v>
      </c>
    </row>
    <row r="234" spans="1:2">
      <c r="A234" s="99">
        <v>57.2</v>
      </c>
      <c r="B234" s="99">
        <v>2.4</v>
      </c>
    </row>
    <row r="235" spans="1:2">
      <c r="A235" s="99">
        <v>57.3</v>
      </c>
      <c r="B235" s="99">
        <v>2.4</v>
      </c>
    </row>
    <row r="236" spans="1:2">
      <c r="A236" s="99">
        <v>57.4</v>
      </c>
      <c r="B236" s="99">
        <v>2.4</v>
      </c>
    </row>
    <row r="237" spans="1:2">
      <c r="A237" s="99">
        <v>57.5</v>
      </c>
      <c r="B237" s="99">
        <v>2.5</v>
      </c>
    </row>
    <row r="238" spans="1:2">
      <c r="A238" s="99">
        <v>57.6</v>
      </c>
      <c r="B238" s="99">
        <v>2.5</v>
      </c>
    </row>
    <row r="239" spans="1:2">
      <c r="A239" s="99">
        <v>57.7</v>
      </c>
      <c r="B239" s="99">
        <v>2.5</v>
      </c>
    </row>
    <row r="240" spans="1:2">
      <c r="A240" s="99">
        <v>57.8</v>
      </c>
      <c r="B240" s="99">
        <v>2.5</v>
      </c>
    </row>
    <row r="241" spans="1:2">
      <c r="A241" s="99">
        <v>57.9</v>
      </c>
      <c r="B241" s="99">
        <v>2.5</v>
      </c>
    </row>
    <row r="242" spans="1:2">
      <c r="A242" s="99">
        <v>58</v>
      </c>
      <c r="B242" s="99">
        <v>2.5</v>
      </c>
    </row>
    <row r="243" spans="1:2">
      <c r="A243" s="99">
        <v>58.1</v>
      </c>
      <c r="B243" s="99">
        <v>2.5</v>
      </c>
    </row>
    <row r="244" spans="1:2">
      <c r="A244" s="99">
        <v>58.2</v>
      </c>
      <c r="B244" s="99">
        <v>2.5</v>
      </c>
    </row>
    <row r="245" spans="1:2">
      <c r="A245" s="99">
        <v>58.3</v>
      </c>
      <c r="B245" s="99">
        <v>2.5</v>
      </c>
    </row>
    <row r="246" spans="1:2">
      <c r="A246" s="99">
        <v>58.4</v>
      </c>
      <c r="B246" s="99">
        <v>2.5</v>
      </c>
    </row>
    <row r="247" spans="1:2">
      <c r="A247" s="99">
        <v>58.5</v>
      </c>
      <c r="B247" s="99">
        <v>2.5</v>
      </c>
    </row>
    <row r="248" spans="1:2">
      <c r="A248" s="99">
        <v>58.6</v>
      </c>
      <c r="B248" s="99">
        <v>2.5</v>
      </c>
    </row>
    <row r="249" spans="1:2">
      <c r="A249" s="99">
        <v>58.7</v>
      </c>
      <c r="B249" s="99">
        <v>2.5</v>
      </c>
    </row>
    <row r="250" spans="1:2">
      <c r="A250" s="99">
        <v>58.8</v>
      </c>
      <c r="B250" s="99">
        <v>2.5</v>
      </c>
    </row>
    <row r="251" spans="1:2">
      <c r="A251" s="99">
        <v>58.9</v>
      </c>
      <c r="B251" s="99">
        <v>2.5</v>
      </c>
    </row>
    <row r="252" spans="1:2">
      <c r="A252" s="99">
        <v>59</v>
      </c>
      <c r="B252" s="99">
        <v>2.6</v>
      </c>
    </row>
    <row r="253" spans="1:2">
      <c r="A253" s="99">
        <v>59.1</v>
      </c>
      <c r="B253" s="99">
        <v>2.6</v>
      </c>
    </row>
    <row r="254" spans="1:2">
      <c r="A254" s="99">
        <v>59.2</v>
      </c>
      <c r="B254" s="99">
        <v>2.6</v>
      </c>
    </row>
    <row r="255" spans="1:2">
      <c r="A255" s="99">
        <v>59.3</v>
      </c>
      <c r="B255" s="99">
        <v>2.6</v>
      </c>
    </row>
    <row r="256" spans="1:2">
      <c r="A256" s="99">
        <v>59.4</v>
      </c>
      <c r="B256" s="99">
        <v>2.6</v>
      </c>
    </row>
    <row r="257" spans="1:2">
      <c r="A257" s="99">
        <v>59.5</v>
      </c>
      <c r="B257" s="99">
        <v>2.6</v>
      </c>
    </row>
    <row r="258" spans="1:2">
      <c r="A258" s="99">
        <v>59.6</v>
      </c>
      <c r="B258" s="99">
        <v>2.6</v>
      </c>
    </row>
    <row r="259" spans="1:2">
      <c r="A259" s="99">
        <v>59.7</v>
      </c>
      <c r="B259" s="99">
        <v>2.6</v>
      </c>
    </row>
    <row r="260" spans="1:2">
      <c r="A260" s="99">
        <v>59.8</v>
      </c>
      <c r="B260" s="99">
        <v>2.6</v>
      </c>
    </row>
    <row r="261" spans="1:2">
      <c r="A261" s="99">
        <v>59.9</v>
      </c>
      <c r="B261" s="99">
        <v>2.6</v>
      </c>
    </row>
    <row r="262" spans="1:2">
      <c r="A262" s="99">
        <v>60</v>
      </c>
      <c r="B262" s="99">
        <v>2.6</v>
      </c>
    </row>
    <row r="263" spans="1:2">
      <c r="A263" s="99">
        <v>60.1</v>
      </c>
      <c r="B263" s="99">
        <v>2.6</v>
      </c>
    </row>
    <row r="264" spans="1:2">
      <c r="A264" s="99">
        <v>60.2</v>
      </c>
      <c r="B264" s="99">
        <v>2.6</v>
      </c>
    </row>
    <row r="265" spans="1:2">
      <c r="A265" s="99">
        <v>60.3</v>
      </c>
      <c r="B265" s="99">
        <v>2.6</v>
      </c>
    </row>
    <row r="266" spans="1:2">
      <c r="A266" s="99">
        <v>60.4</v>
      </c>
      <c r="B266" s="99">
        <v>2.6</v>
      </c>
    </row>
    <row r="267" spans="1:2">
      <c r="A267" s="99">
        <v>60.5</v>
      </c>
      <c r="B267" s="99">
        <v>2.7</v>
      </c>
    </row>
    <row r="268" spans="1:2">
      <c r="A268" s="99">
        <v>60.6</v>
      </c>
      <c r="B268" s="99">
        <v>2.7</v>
      </c>
    </row>
    <row r="269" spans="1:2">
      <c r="A269" s="99">
        <v>60.7</v>
      </c>
      <c r="B269" s="99">
        <v>2.7</v>
      </c>
    </row>
    <row r="270" spans="1:2">
      <c r="A270" s="99">
        <v>60.8</v>
      </c>
      <c r="B270" s="99">
        <v>2.7</v>
      </c>
    </row>
    <row r="271" spans="1:2">
      <c r="A271" s="99">
        <v>60.9</v>
      </c>
      <c r="B271" s="99">
        <v>2.7</v>
      </c>
    </row>
    <row r="272" spans="1:2">
      <c r="A272" s="99">
        <v>61</v>
      </c>
      <c r="B272" s="99">
        <v>2.7</v>
      </c>
    </row>
    <row r="273" spans="1:2">
      <c r="A273" s="99">
        <v>61.1</v>
      </c>
      <c r="B273" s="99">
        <v>2.7</v>
      </c>
    </row>
    <row r="274" spans="1:2">
      <c r="A274" s="99">
        <v>61.2</v>
      </c>
      <c r="B274" s="99">
        <v>2.7</v>
      </c>
    </row>
    <row r="275" spans="1:2">
      <c r="A275" s="99">
        <v>61.3</v>
      </c>
      <c r="B275" s="99">
        <v>2.7</v>
      </c>
    </row>
    <row r="276" spans="1:2">
      <c r="A276" s="99">
        <v>61.4</v>
      </c>
      <c r="B276" s="99">
        <v>2.7</v>
      </c>
    </row>
    <row r="277" spans="1:2">
      <c r="A277" s="99">
        <v>61.5</v>
      </c>
      <c r="B277" s="99">
        <v>2.7</v>
      </c>
    </row>
    <row r="278" spans="1:2">
      <c r="A278" s="99">
        <v>61.6</v>
      </c>
      <c r="B278" s="99">
        <v>2.7</v>
      </c>
    </row>
    <row r="279" spans="1:2">
      <c r="A279" s="99">
        <v>61.7</v>
      </c>
      <c r="B279" s="99">
        <v>2.7</v>
      </c>
    </row>
    <row r="280" spans="1:2">
      <c r="A280" s="99">
        <v>61.8</v>
      </c>
      <c r="B280" s="99">
        <v>2.7</v>
      </c>
    </row>
    <row r="281" spans="1:2">
      <c r="A281" s="99">
        <v>61.9</v>
      </c>
      <c r="B281" s="99">
        <v>2.7</v>
      </c>
    </row>
    <row r="282" spans="1:2">
      <c r="A282" s="99">
        <v>62</v>
      </c>
      <c r="B282" s="99">
        <v>2.8</v>
      </c>
    </row>
    <row r="283" spans="1:2">
      <c r="A283" s="99">
        <v>62.1</v>
      </c>
      <c r="B283" s="99">
        <v>2.8</v>
      </c>
    </row>
    <row r="284" spans="1:2">
      <c r="A284" s="99">
        <v>62.2</v>
      </c>
      <c r="B284" s="99">
        <v>2.8</v>
      </c>
    </row>
    <row r="285" spans="1:2">
      <c r="A285" s="99">
        <v>62.3</v>
      </c>
      <c r="B285" s="99">
        <v>2.8</v>
      </c>
    </row>
    <row r="286" spans="1:2">
      <c r="A286" s="99">
        <v>62.4</v>
      </c>
      <c r="B286" s="99">
        <v>2.8</v>
      </c>
    </row>
    <row r="287" spans="1:2">
      <c r="A287" s="99">
        <v>62.5</v>
      </c>
      <c r="B287" s="99">
        <v>2.8</v>
      </c>
    </row>
    <row r="288" spans="1:2">
      <c r="A288" s="99">
        <v>62.6</v>
      </c>
      <c r="B288" s="99">
        <v>2.8</v>
      </c>
    </row>
    <row r="289" spans="1:2">
      <c r="A289" s="99">
        <v>62.7</v>
      </c>
      <c r="B289" s="99">
        <v>2.8</v>
      </c>
    </row>
    <row r="290" spans="1:2">
      <c r="A290" s="99">
        <v>62.8</v>
      </c>
      <c r="B290" s="99">
        <v>2.8</v>
      </c>
    </row>
    <row r="291" spans="1:2">
      <c r="A291" s="99">
        <v>62.9</v>
      </c>
      <c r="B291" s="99">
        <v>2.8</v>
      </c>
    </row>
    <row r="292" spans="1:2">
      <c r="A292" s="99">
        <v>63</v>
      </c>
      <c r="B292" s="99">
        <v>2.8</v>
      </c>
    </row>
    <row r="293" spans="1:2">
      <c r="A293" s="99">
        <v>63.1</v>
      </c>
      <c r="B293" s="99">
        <v>2.8</v>
      </c>
    </row>
    <row r="294" spans="1:2">
      <c r="A294" s="99">
        <v>63.2</v>
      </c>
      <c r="B294" s="99">
        <v>2.8</v>
      </c>
    </row>
    <row r="295" spans="1:2">
      <c r="A295" s="99">
        <v>63.3</v>
      </c>
      <c r="B295" s="99">
        <v>2.8</v>
      </c>
    </row>
    <row r="296" spans="1:2">
      <c r="A296" s="99">
        <v>63.4</v>
      </c>
      <c r="B296" s="99">
        <v>2.8</v>
      </c>
    </row>
    <row r="297" spans="1:2">
      <c r="A297" s="99">
        <v>63.5</v>
      </c>
      <c r="B297" s="99">
        <v>2.9</v>
      </c>
    </row>
    <row r="298" spans="1:2">
      <c r="A298" s="99">
        <v>63.6</v>
      </c>
      <c r="B298" s="99">
        <v>2.9</v>
      </c>
    </row>
    <row r="299" spans="1:2">
      <c r="A299" s="99">
        <v>63.7</v>
      </c>
      <c r="B299" s="99">
        <v>2.9</v>
      </c>
    </row>
    <row r="300" spans="1:2">
      <c r="A300" s="99">
        <v>63.8</v>
      </c>
      <c r="B300" s="99">
        <v>2.9</v>
      </c>
    </row>
    <row r="301" spans="1:2">
      <c r="A301" s="99">
        <v>63.9</v>
      </c>
      <c r="B301" s="99">
        <v>2.9</v>
      </c>
    </row>
    <row r="302" spans="1:2">
      <c r="A302" s="99">
        <v>64</v>
      </c>
      <c r="B302" s="99">
        <v>2.9</v>
      </c>
    </row>
    <row r="303" spans="1:2">
      <c r="A303" s="99">
        <v>64.099999999999994</v>
      </c>
      <c r="B303" s="99">
        <v>2.9</v>
      </c>
    </row>
    <row r="304" spans="1:2">
      <c r="A304" s="99">
        <v>64.2</v>
      </c>
      <c r="B304" s="99">
        <v>2.9</v>
      </c>
    </row>
    <row r="305" spans="1:2">
      <c r="A305" s="99">
        <v>64.3</v>
      </c>
      <c r="B305" s="99">
        <v>2.9</v>
      </c>
    </row>
    <row r="306" spans="1:2">
      <c r="A306" s="99">
        <v>64.400000000000006</v>
      </c>
      <c r="B306" s="99">
        <v>2.9</v>
      </c>
    </row>
    <row r="307" spans="1:2">
      <c r="A307" s="99">
        <v>64.5</v>
      </c>
      <c r="B307" s="99">
        <v>2.9</v>
      </c>
    </row>
    <row r="308" spans="1:2">
      <c r="A308" s="99">
        <v>64.599999999999994</v>
      </c>
      <c r="B308" s="99">
        <v>2.9</v>
      </c>
    </row>
    <row r="309" spans="1:2">
      <c r="A309" s="99">
        <v>64.7</v>
      </c>
      <c r="B309" s="99">
        <v>2.9</v>
      </c>
    </row>
    <row r="310" spans="1:2">
      <c r="A310" s="99">
        <v>64.8</v>
      </c>
      <c r="B310" s="99">
        <v>2.9</v>
      </c>
    </row>
    <row r="311" spans="1:2">
      <c r="A311" s="99">
        <v>64.900000000000006</v>
      </c>
      <c r="B311" s="99">
        <v>2.9</v>
      </c>
    </row>
    <row r="312" spans="1:2">
      <c r="A312" s="99">
        <v>65</v>
      </c>
      <c r="B312" s="99">
        <v>3</v>
      </c>
    </row>
    <row r="313" spans="1:2">
      <c r="A313" s="99">
        <v>65.099999999999994</v>
      </c>
      <c r="B313" s="99">
        <v>3</v>
      </c>
    </row>
    <row r="314" spans="1:2">
      <c r="A314" s="99">
        <v>65.2</v>
      </c>
      <c r="B314" s="99">
        <v>3</v>
      </c>
    </row>
    <row r="315" spans="1:2">
      <c r="A315" s="99">
        <v>65.3</v>
      </c>
      <c r="B315" s="99">
        <v>3</v>
      </c>
    </row>
    <row r="316" spans="1:2">
      <c r="A316" s="99">
        <v>65.400000000000006</v>
      </c>
      <c r="B316" s="99">
        <v>3</v>
      </c>
    </row>
    <row r="317" spans="1:2">
      <c r="A317" s="99">
        <v>65.5</v>
      </c>
      <c r="B317" s="99">
        <v>3</v>
      </c>
    </row>
    <row r="318" spans="1:2">
      <c r="A318" s="99">
        <v>65.599999999999994</v>
      </c>
      <c r="B318" s="99">
        <v>3</v>
      </c>
    </row>
    <row r="319" spans="1:2">
      <c r="A319" s="99">
        <v>65.7</v>
      </c>
      <c r="B319" s="99">
        <v>3</v>
      </c>
    </row>
    <row r="320" spans="1:2">
      <c r="A320" s="99">
        <v>65.8</v>
      </c>
      <c r="B320" s="99">
        <v>3</v>
      </c>
    </row>
    <row r="321" spans="1:2">
      <c r="A321" s="99">
        <v>65.900000000000006</v>
      </c>
      <c r="B321" s="99">
        <v>3</v>
      </c>
    </row>
    <row r="322" spans="1:2">
      <c r="A322" s="99">
        <v>66</v>
      </c>
      <c r="B322" s="99">
        <v>3</v>
      </c>
    </row>
    <row r="323" spans="1:2">
      <c r="A323" s="99">
        <v>66.099999999999994</v>
      </c>
      <c r="B323" s="99">
        <v>3</v>
      </c>
    </row>
    <row r="324" spans="1:2">
      <c r="A324" s="99">
        <v>66.2</v>
      </c>
      <c r="B324" s="99">
        <v>3</v>
      </c>
    </row>
    <row r="325" spans="1:2">
      <c r="A325" s="99">
        <v>66.3</v>
      </c>
      <c r="B325" s="99">
        <v>3</v>
      </c>
    </row>
    <row r="326" spans="1:2">
      <c r="A326" s="99">
        <v>66.400000000000006</v>
      </c>
      <c r="B326" s="99">
        <v>3</v>
      </c>
    </row>
    <row r="327" spans="1:2">
      <c r="A327" s="99">
        <v>66.5</v>
      </c>
      <c r="B327" s="99">
        <v>3.1</v>
      </c>
    </row>
    <row r="328" spans="1:2">
      <c r="A328" s="99">
        <v>66.599999999999994</v>
      </c>
      <c r="B328" s="99">
        <v>3.1</v>
      </c>
    </row>
    <row r="329" spans="1:2">
      <c r="A329" s="99">
        <v>66.7</v>
      </c>
      <c r="B329" s="99">
        <v>3.1</v>
      </c>
    </row>
    <row r="330" spans="1:2">
      <c r="A330" s="99">
        <v>66.8</v>
      </c>
      <c r="B330" s="99">
        <v>3.1</v>
      </c>
    </row>
    <row r="331" spans="1:2">
      <c r="A331" s="99">
        <v>66.900000000000006</v>
      </c>
      <c r="B331" s="99">
        <v>3.1</v>
      </c>
    </row>
    <row r="332" spans="1:2">
      <c r="A332" s="99">
        <v>67</v>
      </c>
      <c r="B332" s="99">
        <v>3.1</v>
      </c>
    </row>
    <row r="333" spans="1:2">
      <c r="A333" s="99">
        <v>67.099999999999994</v>
      </c>
      <c r="B333" s="99">
        <v>3.1</v>
      </c>
    </row>
    <row r="334" spans="1:2">
      <c r="A334" s="99">
        <v>67.2</v>
      </c>
      <c r="B334" s="99">
        <v>3.1</v>
      </c>
    </row>
    <row r="335" spans="1:2">
      <c r="A335" s="99">
        <v>67.3</v>
      </c>
      <c r="B335" s="99">
        <v>3.1</v>
      </c>
    </row>
    <row r="336" spans="1:2">
      <c r="A336" s="99">
        <v>67.400000000000006</v>
      </c>
      <c r="B336" s="99">
        <v>3.1</v>
      </c>
    </row>
    <row r="337" spans="1:2">
      <c r="A337" s="99">
        <v>67.5</v>
      </c>
      <c r="B337" s="99">
        <v>3.1</v>
      </c>
    </row>
    <row r="338" spans="1:2">
      <c r="A338" s="99">
        <v>67.599999999999994</v>
      </c>
      <c r="B338" s="99">
        <v>3.1</v>
      </c>
    </row>
    <row r="339" spans="1:2">
      <c r="A339" s="99">
        <v>67.7</v>
      </c>
      <c r="B339" s="99">
        <v>3.1</v>
      </c>
    </row>
    <row r="340" spans="1:2">
      <c r="A340" s="99">
        <v>67.8</v>
      </c>
      <c r="B340" s="99">
        <v>3.1</v>
      </c>
    </row>
    <row r="341" spans="1:2">
      <c r="A341" s="99">
        <v>67.900000000000006</v>
      </c>
      <c r="B341" s="99">
        <v>3.1</v>
      </c>
    </row>
    <row r="342" spans="1:2">
      <c r="A342" s="99">
        <v>68</v>
      </c>
      <c r="B342" s="99">
        <v>3.2</v>
      </c>
    </row>
    <row r="343" spans="1:2">
      <c r="A343" s="99">
        <v>68.099999999999994</v>
      </c>
      <c r="B343" s="99">
        <v>3.2</v>
      </c>
    </row>
    <row r="344" spans="1:2">
      <c r="A344" s="99">
        <v>68.2</v>
      </c>
      <c r="B344" s="99">
        <v>3.2</v>
      </c>
    </row>
    <row r="345" spans="1:2">
      <c r="A345" s="99">
        <v>68.3</v>
      </c>
      <c r="B345" s="99">
        <v>3.2</v>
      </c>
    </row>
    <row r="346" spans="1:2">
      <c r="A346" s="99">
        <v>68.400000000000006</v>
      </c>
      <c r="B346" s="99">
        <v>3.2</v>
      </c>
    </row>
    <row r="347" spans="1:2">
      <c r="A347" s="99">
        <v>68.5</v>
      </c>
      <c r="B347" s="99">
        <v>3.2</v>
      </c>
    </row>
    <row r="348" spans="1:2">
      <c r="A348" s="99">
        <v>68.599999999999994</v>
      </c>
      <c r="B348" s="99">
        <v>3.2</v>
      </c>
    </row>
    <row r="349" spans="1:2">
      <c r="A349" s="99">
        <v>68.7</v>
      </c>
      <c r="B349" s="99">
        <v>3.2</v>
      </c>
    </row>
    <row r="350" spans="1:2">
      <c r="A350" s="99">
        <v>68.8</v>
      </c>
      <c r="B350" s="99">
        <v>3.2</v>
      </c>
    </row>
    <row r="351" spans="1:2">
      <c r="A351" s="99">
        <v>68.900000000000006</v>
      </c>
      <c r="B351" s="99">
        <v>3.2</v>
      </c>
    </row>
    <row r="352" spans="1:2">
      <c r="A352" s="99">
        <v>69</v>
      </c>
      <c r="B352" s="99">
        <v>3.2</v>
      </c>
    </row>
    <row r="353" spans="1:2">
      <c r="A353" s="99">
        <v>69.099999999999994</v>
      </c>
      <c r="B353" s="99">
        <v>3.2</v>
      </c>
    </row>
    <row r="354" spans="1:2">
      <c r="A354" s="99">
        <v>69.2</v>
      </c>
      <c r="B354" s="99">
        <v>3.2</v>
      </c>
    </row>
    <row r="355" spans="1:2">
      <c r="A355" s="99">
        <v>69.3</v>
      </c>
      <c r="B355" s="99">
        <v>3.2</v>
      </c>
    </row>
    <row r="356" spans="1:2">
      <c r="A356" s="99">
        <v>69.400000000000006</v>
      </c>
      <c r="B356" s="99">
        <v>3.2</v>
      </c>
    </row>
    <row r="357" spans="1:2">
      <c r="A357" s="99">
        <v>69.5</v>
      </c>
      <c r="B357" s="99">
        <v>3.3</v>
      </c>
    </row>
    <row r="358" spans="1:2">
      <c r="A358" s="99">
        <v>69.599999999999994</v>
      </c>
      <c r="B358" s="99">
        <v>3.3</v>
      </c>
    </row>
    <row r="359" spans="1:2">
      <c r="A359" s="99">
        <v>69.7</v>
      </c>
      <c r="B359" s="99">
        <v>3.3</v>
      </c>
    </row>
    <row r="360" spans="1:2">
      <c r="A360" s="99">
        <v>69.8</v>
      </c>
      <c r="B360" s="99">
        <v>3.3</v>
      </c>
    </row>
    <row r="361" spans="1:2">
      <c r="A361" s="99">
        <v>69.900000000000006</v>
      </c>
      <c r="B361" s="99">
        <v>3.3</v>
      </c>
    </row>
    <row r="362" spans="1:2">
      <c r="A362" s="99">
        <v>70</v>
      </c>
      <c r="B362" s="99">
        <v>3.3</v>
      </c>
    </row>
    <row r="363" spans="1:2">
      <c r="A363" s="99">
        <v>70.099999999999994</v>
      </c>
      <c r="B363" s="99">
        <v>3.3</v>
      </c>
    </row>
    <row r="364" spans="1:2">
      <c r="A364" s="99">
        <v>70.2</v>
      </c>
      <c r="B364" s="99">
        <v>3.3</v>
      </c>
    </row>
    <row r="365" spans="1:2">
      <c r="A365" s="99">
        <v>70.3</v>
      </c>
      <c r="B365" s="99">
        <v>3.3</v>
      </c>
    </row>
    <row r="366" spans="1:2">
      <c r="A366" s="99">
        <v>70.400000000000006</v>
      </c>
      <c r="B366" s="99">
        <v>3.3</v>
      </c>
    </row>
    <row r="367" spans="1:2">
      <c r="A367" s="99">
        <v>70.5</v>
      </c>
      <c r="B367" s="99">
        <v>3.3</v>
      </c>
    </row>
    <row r="368" spans="1:2">
      <c r="A368" s="99">
        <v>70.599999999999994</v>
      </c>
      <c r="B368" s="99">
        <v>3.3</v>
      </c>
    </row>
    <row r="369" spans="1:2">
      <c r="A369" s="99">
        <v>70.7</v>
      </c>
      <c r="B369" s="99">
        <v>3.3</v>
      </c>
    </row>
    <row r="370" spans="1:2">
      <c r="A370" s="99">
        <v>70.8</v>
      </c>
      <c r="B370" s="99">
        <v>3.3</v>
      </c>
    </row>
    <row r="371" spans="1:2">
      <c r="A371" s="99">
        <v>70.900000000000006</v>
      </c>
      <c r="B371" s="99">
        <v>3.3</v>
      </c>
    </row>
    <row r="372" spans="1:2">
      <c r="A372" s="99">
        <v>71</v>
      </c>
      <c r="B372" s="99">
        <v>3.4</v>
      </c>
    </row>
    <row r="373" spans="1:2">
      <c r="A373" s="99">
        <v>71.099999999999994</v>
      </c>
      <c r="B373" s="99">
        <v>3.4</v>
      </c>
    </row>
    <row r="374" spans="1:2">
      <c r="A374" s="99">
        <v>71.2</v>
      </c>
      <c r="B374" s="99">
        <v>3.4</v>
      </c>
    </row>
    <row r="375" spans="1:2">
      <c r="A375" s="99">
        <v>71.3</v>
      </c>
      <c r="B375" s="99">
        <v>3.4</v>
      </c>
    </row>
    <row r="376" spans="1:2">
      <c r="A376" s="99">
        <v>71.400000000000006</v>
      </c>
      <c r="B376" s="99">
        <v>3.4</v>
      </c>
    </row>
    <row r="377" spans="1:2">
      <c r="A377" s="99">
        <v>71.5</v>
      </c>
      <c r="B377" s="99">
        <v>3.4</v>
      </c>
    </row>
    <row r="378" spans="1:2">
      <c r="A378" s="99">
        <v>71.599999999999994</v>
      </c>
      <c r="B378" s="99">
        <v>3.4</v>
      </c>
    </row>
    <row r="379" spans="1:2">
      <c r="A379" s="99">
        <v>71.7</v>
      </c>
      <c r="B379" s="99">
        <v>3.4</v>
      </c>
    </row>
    <row r="380" spans="1:2">
      <c r="A380" s="99">
        <v>71.8</v>
      </c>
      <c r="B380" s="99">
        <v>3.4</v>
      </c>
    </row>
    <row r="381" spans="1:2">
      <c r="A381" s="99">
        <v>71.900000000000006</v>
      </c>
      <c r="B381" s="99">
        <v>3.4</v>
      </c>
    </row>
    <row r="382" spans="1:2">
      <c r="A382" s="99">
        <v>72</v>
      </c>
      <c r="B382" s="99">
        <v>3.4</v>
      </c>
    </row>
    <row r="383" spans="1:2">
      <c r="A383" s="99">
        <v>72.099999999999994</v>
      </c>
      <c r="B383" s="99">
        <v>3.4</v>
      </c>
    </row>
    <row r="384" spans="1:2">
      <c r="A384" s="99">
        <v>72.2</v>
      </c>
      <c r="B384" s="99">
        <v>3.4</v>
      </c>
    </row>
    <row r="385" spans="1:2">
      <c r="A385" s="99">
        <v>72.3</v>
      </c>
      <c r="B385" s="99">
        <v>3.4</v>
      </c>
    </row>
    <row r="386" spans="1:2">
      <c r="A386" s="99">
        <v>72.400000000000006</v>
      </c>
      <c r="B386" s="99">
        <v>3.4</v>
      </c>
    </row>
    <row r="387" spans="1:2">
      <c r="A387" s="99">
        <v>72.5</v>
      </c>
      <c r="B387" s="99">
        <v>3.5</v>
      </c>
    </row>
    <row r="388" spans="1:2">
      <c r="A388" s="99">
        <v>72.599999999999994</v>
      </c>
      <c r="B388" s="99">
        <v>3.5</v>
      </c>
    </row>
    <row r="389" spans="1:2">
      <c r="A389" s="99">
        <v>72.7</v>
      </c>
      <c r="B389" s="99">
        <v>3.5</v>
      </c>
    </row>
    <row r="390" spans="1:2">
      <c r="A390" s="99">
        <v>72.8</v>
      </c>
      <c r="B390" s="99">
        <v>3.5</v>
      </c>
    </row>
    <row r="391" spans="1:2">
      <c r="A391" s="99">
        <v>72.900000000000006</v>
      </c>
      <c r="B391" s="99">
        <v>3.5</v>
      </c>
    </row>
    <row r="392" spans="1:2">
      <c r="A392" s="99">
        <v>73</v>
      </c>
      <c r="B392" s="99">
        <v>3.5</v>
      </c>
    </row>
    <row r="393" spans="1:2">
      <c r="A393" s="99">
        <v>73.099999999999994</v>
      </c>
      <c r="B393" s="99">
        <v>3.5</v>
      </c>
    </row>
    <row r="394" spans="1:2">
      <c r="A394" s="99">
        <v>73.2</v>
      </c>
      <c r="B394" s="99">
        <v>3.5</v>
      </c>
    </row>
    <row r="395" spans="1:2">
      <c r="A395" s="99">
        <v>73.3</v>
      </c>
      <c r="B395" s="99">
        <v>3.5</v>
      </c>
    </row>
    <row r="396" spans="1:2">
      <c r="A396" s="99">
        <v>73.400000000000006</v>
      </c>
      <c r="B396" s="99">
        <v>3.5</v>
      </c>
    </row>
    <row r="397" spans="1:2">
      <c r="A397" s="99">
        <v>73.5</v>
      </c>
      <c r="B397" s="99">
        <v>3.5</v>
      </c>
    </row>
    <row r="398" spans="1:2">
      <c r="A398" s="99">
        <v>73.599999999999994</v>
      </c>
      <c r="B398" s="99">
        <v>3.5</v>
      </c>
    </row>
    <row r="399" spans="1:2">
      <c r="A399" s="99">
        <v>73.7</v>
      </c>
      <c r="B399" s="99">
        <v>3.5</v>
      </c>
    </row>
    <row r="400" spans="1:2">
      <c r="A400" s="99">
        <v>73.8</v>
      </c>
      <c r="B400" s="99">
        <v>3.5</v>
      </c>
    </row>
    <row r="401" spans="1:2">
      <c r="A401" s="99">
        <v>73.900000000000006</v>
      </c>
      <c r="B401" s="99">
        <v>3.5</v>
      </c>
    </row>
    <row r="402" spans="1:2">
      <c r="A402" s="99">
        <v>74</v>
      </c>
      <c r="B402" s="99">
        <v>3.6</v>
      </c>
    </row>
    <row r="403" spans="1:2">
      <c r="A403" s="99">
        <v>74.099999999999994</v>
      </c>
      <c r="B403" s="99">
        <v>3.6</v>
      </c>
    </row>
    <row r="404" spans="1:2">
      <c r="A404" s="99">
        <v>74.2</v>
      </c>
      <c r="B404" s="99">
        <v>3.6</v>
      </c>
    </row>
    <row r="405" spans="1:2">
      <c r="A405" s="99">
        <v>74.3</v>
      </c>
      <c r="B405" s="99">
        <v>3.6</v>
      </c>
    </row>
    <row r="406" spans="1:2">
      <c r="A406" s="99">
        <v>74.400000000000006</v>
      </c>
      <c r="B406" s="99">
        <v>3.6</v>
      </c>
    </row>
    <row r="407" spans="1:2">
      <c r="A407" s="99">
        <v>74.5</v>
      </c>
      <c r="B407" s="99">
        <v>3.6</v>
      </c>
    </row>
    <row r="408" spans="1:2">
      <c r="A408" s="99">
        <v>74.599999999999994</v>
      </c>
      <c r="B408" s="99">
        <v>3.6</v>
      </c>
    </row>
    <row r="409" spans="1:2">
      <c r="A409" s="99">
        <v>74.7</v>
      </c>
      <c r="B409" s="99">
        <v>3.6</v>
      </c>
    </row>
    <row r="410" spans="1:2">
      <c r="A410" s="99">
        <v>74.8</v>
      </c>
      <c r="B410" s="99">
        <v>3.6</v>
      </c>
    </row>
    <row r="411" spans="1:2">
      <c r="A411" s="99">
        <v>74.900000000000006</v>
      </c>
      <c r="B411" s="99">
        <v>3.6</v>
      </c>
    </row>
    <row r="412" spans="1:2">
      <c r="A412" s="99">
        <v>75</v>
      </c>
      <c r="B412" s="99">
        <v>3.6</v>
      </c>
    </row>
    <row r="413" spans="1:2">
      <c r="A413" s="99">
        <v>75.099999999999994</v>
      </c>
      <c r="B413" s="99">
        <v>3.6</v>
      </c>
    </row>
    <row r="414" spans="1:2">
      <c r="A414" s="99">
        <v>75.2</v>
      </c>
      <c r="B414" s="99">
        <v>3.6</v>
      </c>
    </row>
    <row r="415" spans="1:2">
      <c r="A415" s="99">
        <v>75.3</v>
      </c>
      <c r="B415" s="99">
        <v>3.6</v>
      </c>
    </row>
    <row r="416" spans="1:2">
      <c r="A416" s="99">
        <v>75.400000000000006</v>
      </c>
      <c r="B416" s="99">
        <v>3.6</v>
      </c>
    </row>
    <row r="417" spans="1:2">
      <c r="A417" s="99">
        <v>75.5</v>
      </c>
      <c r="B417" s="99">
        <v>3.7</v>
      </c>
    </row>
    <row r="418" spans="1:2">
      <c r="A418" s="99">
        <v>75.599999999999994</v>
      </c>
      <c r="B418" s="99">
        <v>3.7</v>
      </c>
    </row>
    <row r="419" spans="1:2">
      <c r="A419" s="99">
        <v>75.7</v>
      </c>
      <c r="B419" s="99">
        <v>3.7</v>
      </c>
    </row>
    <row r="420" spans="1:2">
      <c r="A420" s="99">
        <v>75.8</v>
      </c>
      <c r="B420" s="99">
        <v>3.7</v>
      </c>
    </row>
    <row r="421" spans="1:2">
      <c r="A421" s="99">
        <v>75.900000000000006</v>
      </c>
      <c r="B421" s="99">
        <v>3.7</v>
      </c>
    </row>
    <row r="422" spans="1:2">
      <c r="A422" s="99">
        <v>76</v>
      </c>
      <c r="B422" s="99">
        <v>3.7</v>
      </c>
    </row>
    <row r="423" spans="1:2">
      <c r="A423" s="99">
        <v>76.099999999999994</v>
      </c>
      <c r="B423" s="99">
        <v>3.7</v>
      </c>
    </row>
    <row r="424" spans="1:2">
      <c r="A424" s="99">
        <v>76.2</v>
      </c>
      <c r="B424" s="99">
        <v>3.7</v>
      </c>
    </row>
    <row r="425" spans="1:2">
      <c r="A425" s="99">
        <v>76.3</v>
      </c>
      <c r="B425" s="99">
        <v>3.7</v>
      </c>
    </row>
    <row r="426" spans="1:2">
      <c r="A426" s="99">
        <v>76.400000000000006</v>
      </c>
      <c r="B426" s="99">
        <v>3.7</v>
      </c>
    </row>
    <row r="427" spans="1:2">
      <c r="A427" s="99">
        <v>76.5</v>
      </c>
      <c r="B427" s="99">
        <v>3.7</v>
      </c>
    </row>
    <row r="428" spans="1:2">
      <c r="A428" s="99">
        <v>76.599999999999994</v>
      </c>
      <c r="B428" s="99">
        <v>3.7</v>
      </c>
    </row>
    <row r="429" spans="1:2">
      <c r="A429" s="99">
        <v>76.7</v>
      </c>
      <c r="B429" s="99">
        <v>3.7</v>
      </c>
    </row>
    <row r="430" spans="1:2">
      <c r="A430" s="99">
        <v>76.8</v>
      </c>
      <c r="B430" s="99">
        <v>3.7</v>
      </c>
    </row>
    <row r="431" spans="1:2">
      <c r="A431" s="99">
        <v>76.900000000000006</v>
      </c>
      <c r="B431" s="99">
        <v>3.7</v>
      </c>
    </row>
    <row r="432" spans="1:2">
      <c r="A432" s="99">
        <v>77</v>
      </c>
      <c r="B432" s="99">
        <v>3.8</v>
      </c>
    </row>
    <row r="433" spans="1:2">
      <c r="A433" s="99">
        <v>77.099999999999994</v>
      </c>
      <c r="B433" s="99">
        <v>3.8</v>
      </c>
    </row>
    <row r="434" spans="1:2">
      <c r="A434" s="99">
        <v>77.2</v>
      </c>
      <c r="B434" s="99">
        <v>3.8</v>
      </c>
    </row>
    <row r="435" spans="1:2">
      <c r="A435" s="99">
        <v>77.3</v>
      </c>
      <c r="B435" s="99">
        <v>3.8</v>
      </c>
    </row>
    <row r="436" spans="1:2">
      <c r="A436" s="99">
        <v>77.400000000000006</v>
      </c>
      <c r="B436" s="99">
        <v>3.8</v>
      </c>
    </row>
    <row r="437" spans="1:2">
      <c r="A437" s="99">
        <v>77.5</v>
      </c>
      <c r="B437" s="99">
        <v>3.8</v>
      </c>
    </row>
    <row r="438" spans="1:2">
      <c r="A438" s="99">
        <v>77.599999999999994</v>
      </c>
      <c r="B438" s="99">
        <v>3.8</v>
      </c>
    </row>
    <row r="439" spans="1:2">
      <c r="A439" s="99">
        <v>77.7</v>
      </c>
      <c r="B439" s="99">
        <v>3.8</v>
      </c>
    </row>
    <row r="440" spans="1:2">
      <c r="A440" s="99">
        <v>77.8</v>
      </c>
      <c r="B440" s="99">
        <v>3.8</v>
      </c>
    </row>
    <row r="441" spans="1:2">
      <c r="A441" s="99">
        <v>77.900000000000006</v>
      </c>
      <c r="B441" s="99">
        <v>3.8</v>
      </c>
    </row>
    <row r="442" spans="1:2">
      <c r="A442" s="99">
        <v>78</v>
      </c>
      <c r="B442" s="99">
        <v>3.8</v>
      </c>
    </row>
    <row r="443" spans="1:2">
      <c r="A443" s="99">
        <v>78.099999999999994</v>
      </c>
      <c r="B443" s="99">
        <v>3.8</v>
      </c>
    </row>
    <row r="444" spans="1:2">
      <c r="A444" s="99">
        <v>78.2</v>
      </c>
      <c r="B444" s="99">
        <v>3.8</v>
      </c>
    </row>
    <row r="445" spans="1:2">
      <c r="A445" s="99">
        <v>78.3</v>
      </c>
      <c r="B445" s="99">
        <v>3.8</v>
      </c>
    </row>
    <row r="446" spans="1:2">
      <c r="A446" s="99">
        <v>78.400000000000006</v>
      </c>
      <c r="B446" s="99">
        <v>3.8</v>
      </c>
    </row>
    <row r="447" spans="1:2">
      <c r="A447" s="99">
        <v>78.5</v>
      </c>
      <c r="B447" s="99">
        <v>3.9</v>
      </c>
    </row>
    <row r="448" spans="1:2">
      <c r="A448" s="99">
        <v>78.599999999999994</v>
      </c>
      <c r="B448" s="99">
        <v>3.9</v>
      </c>
    </row>
    <row r="449" spans="1:2">
      <c r="A449" s="99">
        <v>78.7</v>
      </c>
      <c r="B449" s="99">
        <v>3.9</v>
      </c>
    </row>
    <row r="450" spans="1:2">
      <c r="A450" s="99">
        <v>78.8</v>
      </c>
      <c r="B450" s="99">
        <v>3.9</v>
      </c>
    </row>
    <row r="451" spans="1:2">
      <c r="A451" s="99">
        <v>78.900000000000006</v>
      </c>
      <c r="B451" s="99">
        <v>3.9</v>
      </c>
    </row>
    <row r="452" spans="1:2">
      <c r="A452" s="99">
        <v>79</v>
      </c>
      <c r="B452" s="99">
        <v>3.9</v>
      </c>
    </row>
    <row r="453" spans="1:2">
      <c r="A453" s="99">
        <v>79.099999999999994</v>
      </c>
      <c r="B453" s="99">
        <v>3.9</v>
      </c>
    </row>
    <row r="454" spans="1:2">
      <c r="A454" s="99">
        <v>79.2</v>
      </c>
      <c r="B454" s="99">
        <v>3.9</v>
      </c>
    </row>
    <row r="455" spans="1:2">
      <c r="A455" s="99">
        <v>79.3</v>
      </c>
      <c r="B455" s="99">
        <v>3.9</v>
      </c>
    </row>
    <row r="456" spans="1:2">
      <c r="A456" s="99">
        <v>79.400000000000006</v>
      </c>
      <c r="B456" s="99">
        <v>3.9</v>
      </c>
    </row>
    <row r="457" spans="1:2">
      <c r="A457" s="99">
        <v>79.5</v>
      </c>
      <c r="B457" s="99">
        <v>3.9</v>
      </c>
    </row>
    <row r="458" spans="1:2">
      <c r="A458" s="99">
        <v>79.599999999999994</v>
      </c>
      <c r="B458" s="99">
        <v>3.9</v>
      </c>
    </row>
    <row r="459" spans="1:2">
      <c r="A459" s="99">
        <v>79.7</v>
      </c>
      <c r="B459" s="99">
        <v>3.9</v>
      </c>
    </row>
    <row r="460" spans="1:2">
      <c r="A460" s="99">
        <v>79.8</v>
      </c>
      <c r="B460" s="99">
        <v>3.9</v>
      </c>
    </row>
    <row r="461" spans="1:2">
      <c r="A461" s="99">
        <v>79.900000000000006</v>
      </c>
      <c r="B461" s="99">
        <v>3.9</v>
      </c>
    </row>
    <row r="462" spans="1:2">
      <c r="A462" s="99">
        <v>80</v>
      </c>
      <c r="B462" s="99">
        <v>4</v>
      </c>
    </row>
  </sheetData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33"/>
  <sheetViews>
    <sheetView showGridLines="0" zoomScale="85" zoomScaleNormal="85" workbookViewId="0">
      <pane xSplit="2" topLeftCell="C1" activePane="topRight" state="frozen"/>
      <selection pane="topRight" activeCell="F10" sqref="F10"/>
    </sheetView>
  </sheetViews>
  <sheetFormatPr defaultColWidth="9.19921875" defaultRowHeight="22.05" customHeight="1"/>
  <cols>
    <col min="1" max="1" width="11.19921875" style="1" customWidth="1"/>
    <col min="2" max="2" width="9.69921875" style="1" customWidth="1"/>
    <col min="3" max="3" width="65.69921875" style="1" customWidth="1"/>
    <col min="4" max="6" width="14.5" style="1" customWidth="1"/>
    <col min="7" max="7" width="11.796875" style="1" customWidth="1"/>
    <col min="8" max="10" width="11.69921875" style="1" customWidth="1"/>
    <col min="11" max="11" width="9.19921875" style="1" customWidth="1"/>
    <col min="12" max="16384" width="9.19921875" style="1"/>
  </cols>
  <sheetData>
    <row r="1" spans="1:10" ht="22.05" customHeight="1">
      <c r="A1" s="103" t="s">
        <v>252</v>
      </c>
      <c r="B1" s="103"/>
      <c r="C1" s="62" t="s">
        <v>253</v>
      </c>
    </row>
    <row r="2" spans="1:10" ht="22.05" customHeight="1">
      <c r="A2" s="103" t="s">
        <v>254</v>
      </c>
      <c r="B2" s="103"/>
      <c r="C2" s="62" t="s">
        <v>255</v>
      </c>
    </row>
    <row r="3" spans="1:10" ht="22.05" customHeight="1">
      <c r="A3" s="103" t="s">
        <v>256</v>
      </c>
      <c r="B3" s="103"/>
      <c r="C3" s="62"/>
    </row>
    <row r="4" spans="1:10" ht="22.05" customHeight="1">
      <c r="A4" s="103" t="s">
        <v>257</v>
      </c>
      <c r="B4" s="103"/>
      <c r="C4" s="62"/>
    </row>
    <row r="5" spans="1:10" ht="32.950000000000003" customHeight="1">
      <c r="A5" s="104"/>
      <c r="B5" s="104"/>
    </row>
    <row r="6" spans="1:10" ht="18" customHeight="1">
      <c r="A6" s="109" t="s">
        <v>258</v>
      </c>
      <c r="B6" s="109" t="s">
        <v>259</v>
      </c>
      <c r="C6" s="109" t="s">
        <v>260</v>
      </c>
      <c r="D6" s="105" t="s">
        <v>261</v>
      </c>
      <c r="E6" s="105"/>
      <c r="F6" s="106" t="s">
        <v>262</v>
      </c>
      <c r="G6" s="107"/>
      <c r="H6" s="106" t="s">
        <v>263</v>
      </c>
      <c r="I6" s="108"/>
      <c r="J6" s="107"/>
    </row>
    <row r="7" spans="1:10" ht="18" customHeight="1">
      <c r="A7" s="109"/>
      <c r="B7" s="109"/>
      <c r="C7" s="109"/>
      <c r="D7" s="119" t="s">
        <v>264</v>
      </c>
      <c r="E7" s="119" t="s">
        <v>265</v>
      </c>
      <c r="F7" s="119" t="s">
        <v>266</v>
      </c>
      <c r="G7" s="120" t="s">
        <v>267</v>
      </c>
      <c r="H7" s="63" t="s">
        <v>268</v>
      </c>
      <c r="I7" s="63" t="s">
        <v>269</v>
      </c>
      <c r="J7" s="63" t="s">
        <v>270</v>
      </c>
    </row>
    <row r="8" spans="1:10" ht="18" customHeight="1">
      <c r="A8" s="109"/>
      <c r="B8" s="109"/>
      <c r="C8" s="109"/>
      <c r="D8" s="119"/>
      <c r="E8" s="119"/>
      <c r="F8" s="119"/>
      <c r="G8" s="121"/>
      <c r="H8" s="64">
        <f>SUM(H10:H22)</f>
        <v>16</v>
      </c>
      <c r="I8" s="64">
        <f>SUM(I10:I22)</f>
        <v>0</v>
      </c>
      <c r="J8" s="64">
        <f>COUNTA(جدول_الرصد[الاسم])</f>
        <v>23</v>
      </c>
    </row>
    <row r="9" spans="1:10" ht="22.05" hidden="1" customHeight="1">
      <c r="A9" s="65"/>
      <c r="B9" s="30" t="s">
        <v>259</v>
      </c>
      <c r="C9" s="20" t="s">
        <v>260</v>
      </c>
      <c r="D9" s="66" t="s">
        <v>271</v>
      </c>
      <c r="E9" s="66" t="s">
        <v>272</v>
      </c>
      <c r="F9" s="66" t="s">
        <v>262</v>
      </c>
      <c r="G9" s="66" t="s">
        <v>273</v>
      </c>
      <c r="H9" s="19" t="s">
        <v>274</v>
      </c>
      <c r="I9" s="18" t="s">
        <v>269</v>
      </c>
    </row>
    <row r="10" spans="1:10" ht="22.05" customHeight="1">
      <c r="A10" s="110" t="s">
        <v>275</v>
      </c>
      <c r="B10" s="67">
        <v>1.1000000000000001</v>
      </c>
      <c r="C10" s="68" t="s">
        <v>276</v>
      </c>
      <c r="D10" s="69">
        <v>0.7</v>
      </c>
      <c r="E10" s="70">
        <v>0.75</v>
      </c>
      <c r="F10" s="71">
        <f>'قياس النواتج'!$D$14</f>
        <v>1</v>
      </c>
      <c r="G10" s="72" t="str">
        <f t="shared" ref="G10:G22" si="0">IF(OR(D10="",E10="",F10=""),"",IF(F10&gt;=D10,"نعم","لا"))</f>
        <v>نعم</v>
      </c>
      <c r="H10" s="73">
        <f>'قياس النواتج'!$D$3</f>
        <v>1</v>
      </c>
      <c r="I10" s="94">
        <f>'قياس النواتج'!$D$19</f>
        <v>0</v>
      </c>
    </row>
    <row r="11" spans="1:10" ht="22.05" customHeight="1">
      <c r="A11" s="111" t="str">
        <f>A10</f>
        <v>المعرفة</v>
      </c>
      <c r="B11" s="67">
        <v>1.2</v>
      </c>
      <c r="C11" s="68" t="s">
        <v>277</v>
      </c>
      <c r="D11" s="69">
        <v>0.7</v>
      </c>
      <c r="E11" s="70">
        <v>0.75</v>
      </c>
      <c r="F11" s="71">
        <f>'قياس النواتج'!$E$14</f>
        <v>1</v>
      </c>
      <c r="G11" s="72" t="str">
        <f t="shared" si="0"/>
        <v>نعم</v>
      </c>
      <c r="H11" s="73">
        <f>'قياس النواتج'!$E$3</f>
        <v>5</v>
      </c>
      <c r="I11" s="94">
        <f>'قياس النواتج'!$E$19</f>
        <v>0</v>
      </c>
    </row>
    <row r="12" spans="1:10" ht="22.05" customHeight="1">
      <c r="A12" s="111" t="str">
        <f>A11</f>
        <v>المعرفة</v>
      </c>
      <c r="B12" s="67">
        <v>1.3</v>
      </c>
      <c r="C12" s="68" t="s">
        <v>278</v>
      </c>
      <c r="D12" s="69">
        <v>0.7</v>
      </c>
      <c r="E12" s="70">
        <v>0.75</v>
      </c>
      <c r="F12" s="71">
        <f>'قياس النواتج'!$F$14</f>
        <v>1</v>
      </c>
      <c r="G12" s="72" t="str">
        <f t="shared" si="0"/>
        <v>نعم</v>
      </c>
      <c r="H12" s="73">
        <f>'قياس النواتج'!$F$3</f>
        <v>3</v>
      </c>
      <c r="I12" s="94">
        <f>'قياس النواتج'!$F$19</f>
        <v>0</v>
      </c>
    </row>
    <row r="13" spans="1:10" ht="22.05" customHeight="1">
      <c r="A13" s="111" t="str">
        <f>A12</f>
        <v>المعرفة</v>
      </c>
      <c r="B13" s="67">
        <v>1.4</v>
      </c>
      <c r="C13" s="68"/>
      <c r="D13" s="69"/>
      <c r="E13" s="70"/>
      <c r="F13" s="71" t="str">
        <f>'قياس النواتج'!$G$14</f>
        <v/>
      </c>
      <c r="G13" s="72" t="str">
        <f t="shared" si="0"/>
        <v/>
      </c>
      <c r="H13" s="73" t="str">
        <f>'قياس النواتج'!$G$3</f>
        <v/>
      </c>
      <c r="I13" s="94" t="str">
        <f>'قياس النواتج'!$G$19</f>
        <v/>
      </c>
    </row>
    <row r="14" spans="1:10" ht="22.05" customHeight="1">
      <c r="A14" s="112" t="str">
        <f>A13</f>
        <v>المعرفة</v>
      </c>
      <c r="B14" s="67">
        <v>1.5</v>
      </c>
      <c r="C14" s="68"/>
      <c r="D14" s="69"/>
      <c r="E14" s="70"/>
      <c r="F14" s="71" t="str">
        <f>'قياس النواتج'!$H$14</f>
        <v/>
      </c>
      <c r="G14" s="72" t="str">
        <f t="shared" si="0"/>
        <v/>
      </c>
      <c r="H14" s="73" t="str">
        <f>'قياس النواتج'!$H$3</f>
        <v/>
      </c>
      <c r="I14" s="94" t="str">
        <f>'قياس النواتج'!$H$19</f>
        <v/>
      </c>
    </row>
    <row r="15" spans="1:10" ht="22.05" customHeight="1">
      <c r="A15" s="113" t="s">
        <v>279</v>
      </c>
      <c r="B15" s="74">
        <v>2.1</v>
      </c>
      <c r="C15" s="75" t="s">
        <v>280</v>
      </c>
      <c r="D15" s="76">
        <v>0.7</v>
      </c>
      <c r="E15" s="77">
        <v>0.75</v>
      </c>
      <c r="F15" s="78">
        <f>'قياس النواتج'!$I$14</f>
        <v>1</v>
      </c>
      <c r="G15" s="79" t="str">
        <f t="shared" si="0"/>
        <v>نعم</v>
      </c>
      <c r="H15" s="80">
        <f>'قياس النواتج'!$I$3</f>
        <v>1</v>
      </c>
      <c r="I15" s="95">
        <f>'قياس النواتج'!$I$19</f>
        <v>0</v>
      </c>
    </row>
    <row r="16" spans="1:10" ht="22.05" customHeight="1">
      <c r="A16" s="114" t="str">
        <f>A15</f>
        <v>المهارات</v>
      </c>
      <c r="B16" s="74">
        <v>2.2000000000000002</v>
      </c>
      <c r="C16" s="75" t="s">
        <v>281</v>
      </c>
      <c r="D16" s="76">
        <v>0.7</v>
      </c>
      <c r="E16" s="77">
        <v>0.75</v>
      </c>
      <c r="F16" s="78">
        <f>'قياس النواتج'!$J$14</f>
        <v>1</v>
      </c>
      <c r="G16" s="79" t="str">
        <f t="shared" si="0"/>
        <v>نعم</v>
      </c>
      <c r="H16" s="80">
        <f>'قياس النواتج'!$J$3</f>
        <v>3</v>
      </c>
      <c r="I16" s="95">
        <f>'قياس النواتج'!$J$19</f>
        <v>0</v>
      </c>
    </row>
    <row r="17" spans="1:9" ht="22.05" customHeight="1">
      <c r="A17" s="114" t="str">
        <f>A16</f>
        <v>المهارات</v>
      </c>
      <c r="B17" s="74">
        <v>2.2999999999999998</v>
      </c>
      <c r="C17" s="75" t="s">
        <v>282</v>
      </c>
      <c r="D17" s="76">
        <v>0.7</v>
      </c>
      <c r="E17" s="77">
        <v>0.75</v>
      </c>
      <c r="F17" s="78">
        <f>'قياس النواتج'!$K$14</f>
        <v>1</v>
      </c>
      <c r="G17" s="79" t="str">
        <f t="shared" si="0"/>
        <v>نعم</v>
      </c>
      <c r="H17" s="80">
        <f>'قياس النواتج'!$K$3</f>
        <v>3</v>
      </c>
      <c r="I17" s="95">
        <f>'قياس النواتج'!$K$19</f>
        <v>0</v>
      </c>
    </row>
    <row r="18" spans="1:9" ht="22.05" customHeight="1">
      <c r="A18" s="114" t="str">
        <f>A17</f>
        <v>المهارات</v>
      </c>
      <c r="B18" s="74">
        <v>2.4</v>
      </c>
      <c r="C18" s="75"/>
      <c r="D18" s="76"/>
      <c r="E18" s="77"/>
      <c r="F18" s="78" t="str">
        <f>'قياس النواتج'!$L$14</f>
        <v/>
      </c>
      <c r="G18" s="79" t="str">
        <f t="shared" si="0"/>
        <v/>
      </c>
      <c r="H18" s="80" t="str">
        <f>'قياس النواتج'!$L$3</f>
        <v/>
      </c>
      <c r="I18" s="95" t="str">
        <f>'قياس النواتج'!$L$19</f>
        <v/>
      </c>
    </row>
    <row r="19" spans="1:9" ht="22.05" customHeight="1">
      <c r="A19" s="115" t="str">
        <f>A18</f>
        <v>المهارات</v>
      </c>
      <c r="B19" s="74">
        <v>2.5</v>
      </c>
      <c r="C19" s="75"/>
      <c r="D19" s="76"/>
      <c r="E19" s="77"/>
      <c r="F19" s="78" t="str">
        <f>'قياس النواتج'!$M$14</f>
        <v/>
      </c>
      <c r="G19" s="79" t="str">
        <f t="shared" si="0"/>
        <v/>
      </c>
      <c r="H19" s="80" t="str">
        <f>'قياس النواتج'!$M$3</f>
        <v/>
      </c>
      <c r="I19" s="95" t="str">
        <f>'قياس النواتج'!$M$19</f>
        <v/>
      </c>
    </row>
    <row r="20" spans="1:9" ht="22.05" customHeight="1">
      <c r="A20" s="116" t="s">
        <v>283</v>
      </c>
      <c r="B20" s="81">
        <v>3.1</v>
      </c>
      <c r="C20" s="82" t="s">
        <v>284</v>
      </c>
      <c r="D20" s="83">
        <v>0.7</v>
      </c>
      <c r="E20" s="84">
        <v>0.75</v>
      </c>
      <c r="F20" s="85" t="str">
        <f>'قياس النواتج'!$N$14</f>
        <v/>
      </c>
      <c r="G20" s="86" t="str">
        <f t="shared" si="0"/>
        <v/>
      </c>
      <c r="H20" s="87">
        <f>'قياس النواتج'!$N$3</f>
        <v>0</v>
      </c>
      <c r="I20" s="96">
        <f>'قياس النواتج'!$N$19</f>
        <v>0</v>
      </c>
    </row>
    <row r="21" spans="1:9" ht="22.05" customHeight="1">
      <c r="A21" s="117" t="str">
        <f>A20</f>
        <v>القيم</v>
      </c>
      <c r="B21" s="81">
        <v>3.2</v>
      </c>
      <c r="C21" s="82" t="s">
        <v>285</v>
      </c>
      <c r="D21" s="83">
        <v>0.7</v>
      </c>
      <c r="E21" s="84">
        <v>0.75</v>
      </c>
      <c r="F21" s="85" t="str">
        <f>'قياس النواتج'!$O$14</f>
        <v/>
      </c>
      <c r="G21" s="86" t="str">
        <f t="shared" si="0"/>
        <v/>
      </c>
      <c r="H21" s="87">
        <f>'قياس النواتج'!$O$3</f>
        <v>0</v>
      </c>
      <c r="I21" s="96">
        <f>'قياس النواتج'!$O$19</f>
        <v>0</v>
      </c>
    </row>
    <row r="22" spans="1:9" ht="22.05" customHeight="1">
      <c r="A22" s="118" t="str">
        <f>A21</f>
        <v>القيم</v>
      </c>
      <c r="B22" s="88">
        <v>3.3</v>
      </c>
      <c r="C22" s="89" t="s">
        <v>284</v>
      </c>
      <c r="D22" s="90">
        <v>0.7</v>
      </c>
      <c r="E22" s="84">
        <v>0.75</v>
      </c>
      <c r="F22" s="91" t="str">
        <f>'قياس النواتج'!$P$14</f>
        <v/>
      </c>
      <c r="G22" s="92" t="str">
        <f t="shared" si="0"/>
        <v/>
      </c>
      <c r="H22" s="93">
        <f>'قياس النواتج'!$P$3</f>
        <v>0</v>
      </c>
      <c r="I22" s="97">
        <f>'قياس النواتج'!$P$19</f>
        <v>0</v>
      </c>
    </row>
    <row r="33" spans="19:19" ht="22.05" customHeight="1">
      <c r="S33" s="98"/>
    </row>
  </sheetData>
  <sheetProtection formatCells="0" formatColumns="0" formatRows="0"/>
  <mergeCells count="18">
    <mergeCell ref="A15:A19"/>
    <mergeCell ref="A20:A22"/>
    <mergeCell ref="B6:B8"/>
    <mergeCell ref="C6:C8"/>
    <mergeCell ref="D7:D8"/>
    <mergeCell ref="D6:E6"/>
    <mergeCell ref="F6:G6"/>
    <mergeCell ref="H6:J6"/>
    <mergeCell ref="A6:A8"/>
    <mergeCell ref="A10:A14"/>
    <mergeCell ref="E7:E8"/>
    <mergeCell ref="F7:F8"/>
    <mergeCell ref="G7:G8"/>
    <mergeCell ref="A1:B1"/>
    <mergeCell ref="A2:B2"/>
    <mergeCell ref="A3:B3"/>
    <mergeCell ref="A4:B4"/>
    <mergeCell ref="A5:B5"/>
  </mergeCells>
  <conditionalFormatting sqref="C10:C22">
    <cfRule type="expression" dxfId="15" priority="7">
      <formula>AND(OR(D10&lt;&gt;"",E10&lt;&gt;""),C10="")</formula>
    </cfRule>
  </conditionalFormatting>
  <conditionalFormatting sqref="D10:D22">
    <cfRule type="expression" dxfId="14" priority="5">
      <formula>AND(OR(C10&lt;&gt;"",E10&lt;&gt;""),D10="")</formula>
    </cfRule>
  </conditionalFormatting>
  <conditionalFormatting sqref="E10:E22">
    <cfRule type="expression" dxfId="13" priority="6">
      <formula>AND(OR(C10&lt;&gt;"",D10&lt;&gt;""),E10="")</formula>
    </cfRule>
  </conditionalFormatting>
  <conditionalFormatting sqref="G10:G22">
    <cfRule type="cellIs" dxfId="12" priority="1" operator="equal">
      <formula>"لا"</formula>
    </cfRule>
    <cfRule type="cellIs" dxfId="11" priority="2" operator="equal">
      <formula>"نعم"</formula>
    </cfRule>
  </conditionalFormatting>
  <conditionalFormatting sqref="I8">
    <cfRule type="cellIs" dxfId="10" priority="3" operator="notEqual">
      <formula>100</formula>
    </cfRule>
  </conditionalFormatting>
  <dataValidations count="1">
    <dataValidation type="decimal" allowBlank="1" showInputMessage="1" showErrorMessage="1" error="لا بد أن يكون المستوى المدخل رقمًا (نسبة مئوية بين 0% و 100%)" sqref="D10:E22" xr:uid="{00000000-0002-0000-0100-000000000000}">
      <formula1>0</formula1>
      <formula2>1</formula2>
    </dataValidation>
  </dataValidations>
  <pageMargins left="0.7" right="0.7" top="0.75" bottom="0.75" header="0.3" footer="0.3"/>
  <pageSetup paperSize="9" scale="61" fitToHeight="0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I47"/>
  <sheetViews>
    <sheetView showGridLines="0" zoomScale="55" zoomScaleNormal="55" workbookViewId="0">
      <selection activeCell="F5" sqref="F5"/>
    </sheetView>
  </sheetViews>
  <sheetFormatPr defaultColWidth="14.796875" defaultRowHeight="22.6" customHeight="1"/>
  <cols>
    <col min="1" max="1" width="8" style="1" customWidth="1"/>
    <col min="2" max="2" width="15.69921875" style="1" customWidth="1"/>
    <col min="3" max="3" width="25.5" style="1" customWidth="1"/>
    <col min="4" max="4" width="14.796875" style="1" customWidth="1"/>
    <col min="5" max="34" width="9.19921875" style="1" customWidth="1"/>
    <col min="35" max="16384" width="14.796875" style="1"/>
  </cols>
  <sheetData>
    <row r="1" spans="1:35" ht="22.6" customHeight="1">
      <c r="D1" s="2" t="s">
        <v>286</v>
      </c>
      <c r="E1" s="35" t="s">
        <v>287</v>
      </c>
      <c r="F1" s="35"/>
      <c r="G1" s="35"/>
      <c r="H1" s="35"/>
      <c r="I1" s="35" t="s">
        <v>288</v>
      </c>
      <c r="J1" s="35"/>
      <c r="K1" s="35"/>
      <c r="L1" s="35"/>
      <c r="M1" s="35" t="s">
        <v>289</v>
      </c>
      <c r="N1" s="35"/>
      <c r="O1" s="35"/>
      <c r="P1" s="35"/>
      <c r="Q1" s="35" t="s">
        <v>290</v>
      </c>
      <c r="R1" s="35"/>
      <c r="S1" s="35"/>
      <c r="T1" s="35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</row>
    <row r="2" spans="1:35" ht="22.6" customHeight="1">
      <c r="D2" s="2" t="s">
        <v>291</v>
      </c>
      <c r="E2" s="36" t="s">
        <v>292</v>
      </c>
      <c r="F2" s="36" t="s">
        <v>293</v>
      </c>
      <c r="G2" s="36" t="s">
        <v>294</v>
      </c>
      <c r="H2" s="36" t="s">
        <v>295</v>
      </c>
      <c r="I2" s="36" t="s">
        <v>292</v>
      </c>
      <c r="J2" s="36" t="s">
        <v>293</v>
      </c>
      <c r="K2" s="36" t="s">
        <v>294</v>
      </c>
      <c r="L2" s="36" t="s">
        <v>295</v>
      </c>
      <c r="M2" s="36" t="s">
        <v>292</v>
      </c>
      <c r="N2" s="36" t="s">
        <v>293</v>
      </c>
      <c r="O2" s="36" t="s">
        <v>294</v>
      </c>
      <c r="P2" s="36" t="s">
        <v>295</v>
      </c>
      <c r="Q2" s="36" t="s">
        <v>292</v>
      </c>
      <c r="R2" s="36" t="s">
        <v>293</v>
      </c>
      <c r="S2" s="36" t="s">
        <v>294</v>
      </c>
      <c r="T2" s="36" t="s">
        <v>295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5" ht="22.6" customHeight="1">
      <c r="D3" s="37" t="s">
        <v>296</v>
      </c>
      <c r="E3" s="38">
        <v>1.1000000000000001</v>
      </c>
      <c r="F3" s="38">
        <v>1.2</v>
      </c>
      <c r="G3" s="38">
        <v>2.2000000000000002</v>
      </c>
      <c r="H3" s="38">
        <v>2.2999999999999998</v>
      </c>
      <c r="I3" s="38">
        <v>1.2</v>
      </c>
      <c r="J3" s="38">
        <v>1.3</v>
      </c>
      <c r="K3" s="38">
        <v>2.1</v>
      </c>
      <c r="L3" s="38">
        <v>1.3</v>
      </c>
      <c r="M3" s="38">
        <v>1.2</v>
      </c>
      <c r="N3" s="38">
        <v>1.3</v>
      </c>
      <c r="O3" s="38">
        <v>2.2000000000000002</v>
      </c>
      <c r="P3" s="38">
        <v>2.2999999999999998</v>
      </c>
      <c r="Q3" s="38">
        <v>1.2</v>
      </c>
      <c r="R3" s="38">
        <v>2.2000000000000002</v>
      </c>
      <c r="S3" s="38">
        <v>1.2</v>
      </c>
      <c r="T3" s="38">
        <v>2.2999999999999998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59"/>
      <c r="AI3" s="60" t="s">
        <v>269</v>
      </c>
    </row>
    <row r="4" spans="1:35" ht="22.6" customHeight="1">
      <c r="D4" s="37" t="s">
        <v>297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61"/>
      <c r="AI4" s="60">
        <f>SUM(E4:AH4)</f>
        <v>0</v>
      </c>
    </row>
    <row r="5" spans="1:35" ht="100.55" customHeight="1">
      <c r="D5" s="2" t="s">
        <v>298</v>
      </c>
      <c r="E5" s="40" t="str">
        <f>IFERROR(IF(VLOOKUP(E3,نواتج_التعلم[],2,FALSE)=0,"المخرج لم يحدد في جدول نواتج التعلم",VLOOKUP(E3,نواتج_التعلم[],2,FALSE)),"")</f>
        <v>معرفة المحاسبة ومجالاتها ودروها الاقتصادي</v>
      </c>
      <c r="F5" s="40" t="str">
        <f>IFERROR(IF(VLOOKUP(F3,نواتج_التعلم[],2,FALSE)=0,"المخرج لم يحدد في جدول نواتج التعلم",VLOOKUP(F3,نواتج_التعلم[],2,FALSE)),"")</f>
        <v>معرفة كيف يتم العمل المحاسبي في كل من المحاسبة المالية والحكومية والوطنية ومحاسة التكاليف</v>
      </c>
      <c r="G5" s="40" t="str">
        <f>IFERROR(IF(VLOOKUP(G3,نواتج_التعلم[],2,FALSE)=0,"المخرج لم يحدد في جدول نواتج التعلم",VLOOKUP(G3,نواتج_التعلم[],2,FALSE)),"")</f>
        <v>القدرة على تحليل وقراءة القوائم المالية</v>
      </c>
      <c r="H5" s="40" t="str">
        <f>IFERROR(IF(VLOOKUP(H3,نواتج_التعلم[],2,FALSE)=0,"المخرج لم يحدد في جدول نواتج التعلم",VLOOKUP(H3,نواتج_التعلم[],2,FALSE)),"")</f>
        <v>الربط بين المحاسبة والاقتصاد</v>
      </c>
      <c r="I5" s="40" t="str">
        <f>IFERROR(IF(VLOOKUP(I3,نواتج_التعلم[],2,FALSE)=0,"المخرج لم يحدد في جدول نواتج التعلم",VLOOKUP(I3,نواتج_التعلم[],2,FALSE)),"")</f>
        <v>معرفة كيف يتم العمل المحاسبي في كل من المحاسبة المالية والحكومية والوطنية ومحاسة التكاليف</v>
      </c>
      <c r="J5" s="40" t="str">
        <f>IFERROR(IF(VLOOKUP(J3,نواتج_التعلم[],2,FALSE)=0,"المخرج لم يحدد في جدول نواتج التعلم",VLOOKUP(J3,نواتج_التعلم[],2,FALSE)),"")</f>
        <v>معرفة كيفية إعداد القوائم المالية وقراءتها وتحليلها واستخلاص المعلومات منها</v>
      </c>
      <c r="K5" s="40" t="str">
        <f>IFERROR(IF(VLOOKUP(K3,نواتج_التعلم[],2,FALSE)=0,"المخرج لم يحدد في جدول نواتج التعلم",VLOOKUP(K3,نواتج_التعلم[],2,FALSE)),"")</f>
        <v>القدرة على العمل في المجال المحاسبي</v>
      </c>
      <c r="L5" s="40" t="str">
        <f>IFERROR(IF(VLOOKUP(L3,نواتج_التعلم[],2,FALSE)=0,"المخرج لم يحدد في جدول نواتج التعلم",VLOOKUP(L3,نواتج_التعلم[],2,FALSE)),"")</f>
        <v>معرفة كيفية إعداد القوائم المالية وقراءتها وتحليلها واستخلاص المعلومات منها</v>
      </c>
      <c r="M5" s="40" t="str">
        <f>IFERROR(IF(VLOOKUP(M3,نواتج_التعلم[],2,FALSE)=0,"المخرج لم يحدد في جدول نواتج التعلم",VLOOKUP(M3,نواتج_التعلم[],2,FALSE)),"")</f>
        <v>معرفة كيف يتم العمل المحاسبي في كل من المحاسبة المالية والحكومية والوطنية ومحاسة التكاليف</v>
      </c>
      <c r="N5" s="40" t="str">
        <f>IFERROR(IF(VLOOKUP(N3,نواتج_التعلم[],2,FALSE)=0,"المخرج لم يحدد في جدول نواتج التعلم",VLOOKUP(N3,نواتج_التعلم[],2,FALSE)),"")</f>
        <v>معرفة كيفية إعداد القوائم المالية وقراءتها وتحليلها واستخلاص المعلومات منها</v>
      </c>
      <c r="O5" s="40" t="str">
        <f>IFERROR(IF(VLOOKUP(O3,نواتج_التعلم[],2,FALSE)=0,"المخرج لم يحدد في جدول نواتج التعلم",VLOOKUP(O3,نواتج_التعلم[],2,FALSE)),"")</f>
        <v>القدرة على تحليل وقراءة القوائم المالية</v>
      </c>
      <c r="P5" s="40" t="str">
        <f>IFERROR(IF(VLOOKUP(P3,نواتج_التعلم[],2,FALSE)=0,"المخرج لم يحدد في جدول نواتج التعلم",VLOOKUP(P3,نواتج_التعلم[],2,FALSE)),"")</f>
        <v>الربط بين المحاسبة والاقتصاد</v>
      </c>
      <c r="Q5" s="40" t="str">
        <f>IFERROR(IF(VLOOKUP(Q3,نواتج_التعلم[],2,FALSE)=0,"المخرج لم يحدد في جدول نواتج التعلم",VLOOKUP(Q3,نواتج_التعلم[],2,FALSE)),"")</f>
        <v>معرفة كيف يتم العمل المحاسبي في كل من المحاسبة المالية والحكومية والوطنية ومحاسة التكاليف</v>
      </c>
      <c r="R5" s="40" t="str">
        <f>IFERROR(IF(VLOOKUP(R3,نواتج_التعلم[],2,FALSE)=0,"المخرج لم يحدد في جدول نواتج التعلم",VLOOKUP(R3,نواتج_التعلم[],2,FALSE)),"")</f>
        <v>القدرة على تحليل وقراءة القوائم المالية</v>
      </c>
      <c r="S5" s="40" t="str">
        <f>IFERROR(IF(VLOOKUP(S3,نواتج_التعلم[],2,FALSE)=0,"المخرج لم يحدد في جدول نواتج التعلم",VLOOKUP(S3,نواتج_التعلم[],2,FALSE)),"")</f>
        <v>معرفة كيف يتم العمل المحاسبي في كل من المحاسبة المالية والحكومية والوطنية ومحاسة التكاليف</v>
      </c>
      <c r="T5" s="40" t="str">
        <f>IFERROR(IF(VLOOKUP(T3,نواتج_التعلم[],2,FALSE)=0,"المخرج لم يحدد في جدول نواتج التعلم",VLOOKUP(T3,نواتج_التعلم[],2,FALSE)),"")</f>
        <v>الربط بين المحاسبة والاقتصاد</v>
      </c>
      <c r="U5" s="4" t="str">
        <f>IFERROR(IF(VLOOKUP(U3,نواتج_التعلم[],2,FALSE)=0,"المخرج لم يحدد في جدول نواتج التعلم",VLOOKUP(U3,نواتج_التعلم[],2,FALSE)),"")</f>
        <v/>
      </c>
      <c r="V5" s="4" t="str">
        <f>IFERROR(IF(VLOOKUP(V3,نواتج_التعلم[],2,FALSE)=0,"المخرج لم يحدد في جدول نواتج التعلم",VLOOKUP(V3,نواتج_التعلم[],2,FALSE)),"")</f>
        <v/>
      </c>
      <c r="W5" s="4" t="str">
        <f>IFERROR(IF(VLOOKUP(W3,نواتج_التعلم[],2,FALSE)=0,"المخرج لم يحدد في جدول نواتج التعلم",VLOOKUP(W3,نواتج_التعلم[],2,FALSE)),"")</f>
        <v/>
      </c>
      <c r="X5" s="4" t="str">
        <f>IFERROR(IF(VLOOKUP(X3,نواتج_التعلم[],2,FALSE)=0,"المخرج لم يحدد في جدول نواتج التعلم",VLOOKUP(X3,نواتج_التعلم[],2,FALSE)),"")</f>
        <v/>
      </c>
      <c r="Y5" s="4" t="str">
        <f>IFERROR(IF(VLOOKUP(Y3,نواتج_التعلم[],2,FALSE)=0,"المخرج لم يحدد في جدول نواتج التعلم",VLOOKUP(Y3,نواتج_التعلم[],2,FALSE)),"")</f>
        <v/>
      </c>
      <c r="Z5" s="4" t="str">
        <f>IFERROR(IF(VLOOKUP(Z3,نواتج_التعلم[],2,FALSE)=0,"المخرج لم يحدد في جدول نواتج التعلم",VLOOKUP(Z3,نواتج_التعلم[],2,FALSE)),"")</f>
        <v/>
      </c>
      <c r="AA5" s="4" t="str">
        <f>IFERROR(IF(VLOOKUP(AA3,نواتج_التعلم[],2,FALSE)=0,"المخرج لم يحدد في جدول نواتج التعلم",VLOOKUP(AA3,نواتج_التعلم[],2,FALSE)),"")</f>
        <v/>
      </c>
      <c r="AB5" s="4" t="str">
        <f>IFERROR(IF(VLOOKUP(AB3,نواتج_التعلم[],2,FALSE)=0,"المخرج لم يحدد في جدول نواتج التعلم",VLOOKUP(AB3,نواتج_التعلم[],2,FALSE)),"")</f>
        <v/>
      </c>
      <c r="AC5" s="4" t="str">
        <f>IFERROR(IF(VLOOKUP(AC3,نواتج_التعلم[],2,FALSE)=0,"المخرج لم يحدد في جدول نواتج التعلم",VLOOKUP(AC3,نواتج_التعلم[],2,FALSE)),"")</f>
        <v/>
      </c>
      <c r="AD5" s="4" t="str">
        <f>IFERROR(IF(VLOOKUP(AD3,نواتج_التعلم[],2,FALSE)=0,"المخرج لم يحدد في جدول نواتج التعلم",VLOOKUP(AD3,نواتج_التعلم[],2,FALSE)),"")</f>
        <v/>
      </c>
      <c r="AE5" s="4" t="str">
        <f>IFERROR(IF(VLOOKUP(AE3,نواتج_التعلم[],2,FALSE)=0,"المخرج لم يحدد في جدول نواتج التعلم",VLOOKUP(AE3,نواتج_التعلم[],2,FALSE)),"")</f>
        <v/>
      </c>
      <c r="AF5" s="4" t="str">
        <f>IFERROR(IF(VLOOKUP(AF3,نواتج_التعلم[],2,FALSE)=0,"المخرج لم يحدد في جدول نواتج التعلم",VLOOKUP(AF3,نواتج_التعلم[],2,FALSE)),"")</f>
        <v/>
      </c>
      <c r="AG5" s="4" t="str">
        <f>IFERROR(IF(VLOOKUP(AG3,نواتج_التعلم[],2,FALSE)=0,"المخرج لم يحدد في جدول نواتج التعلم",VLOOKUP(AG3,نواتج_التعلم[],2,FALSE)),"")</f>
        <v/>
      </c>
      <c r="AH5" s="4" t="str">
        <f>IFERROR(IF(VLOOKUP(AH3,نواتج_التعلم[],2,FALSE)=0,"المخرج لم يحدد في جدول نواتج التعلم",VLOOKUP(AH3,نواتج_التعلم[],2,FALSE)),"")</f>
        <v/>
      </c>
    </row>
    <row r="6" spans="1:35" ht="22.6" customHeight="1">
      <c r="A6" s="41" t="s">
        <v>299</v>
      </c>
      <c r="B6" s="41" t="s">
        <v>300</v>
      </c>
      <c r="C6" s="41" t="str">
        <f>"الاسم"&amp;" ("&amp;COUNTA(جدول_الرصد[الاسم])&amp;")"</f>
        <v>الاسم (23)</v>
      </c>
      <c r="D6" s="42" t="s">
        <v>269</v>
      </c>
      <c r="E6" s="43" t="str">
        <f>IF(E4=0,"",E4)</f>
        <v/>
      </c>
      <c r="F6" s="43" t="str">
        <f t="shared" ref="F6:AH6" si="0">IF(F4=0,"",F4)</f>
        <v/>
      </c>
      <c r="G6" s="43" t="str">
        <f t="shared" si="0"/>
        <v/>
      </c>
      <c r="H6" s="43" t="str">
        <f t="shared" si="0"/>
        <v/>
      </c>
      <c r="I6" s="43" t="str">
        <f t="shared" si="0"/>
        <v/>
      </c>
      <c r="J6" s="43" t="str">
        <f t="shared" si="0"/>
        <v/>
      </c>
      <c r="K6" s="43" t="str">
        <f t="shared" si="0"/>
        <v/>
      </c>
      <c r="L6" s="43" t="str">
        <f t="shared" si="0"/>
        <v/>
      </c>
      <c r="M6" s="43" t="str">
        <f t="shared" si="0"/>
        <v/>
      </c>
      <c r="N6" s="43" t="str">
        <f t="shared" si="0"/>
        <v/>
      </c>
      <c r="O6" s="43" t="str">
        <f t="shared" si="0"/>
        <v/>
      </c>
      <c r="P6" s="43" t="str">
        <f t="shared" si="0"/>
        <v/>
      </c>
      <c r="Q6" s="43" t="str">
        <f t="shared" si="0"/>
        <v/>
      </c>
      <c r="R6" s="43" t="str">
        <f t="shared" si="0"/>
        <v/>
      </c>
      <c r="S6" s="43" t="str">
        <f t="shared" si="0"/>
        <v/>
      </c>
      <c r="T6" s="43" t="str">
        <f t="shared" si="0"/>
        <v/>
      </c>
      <c r="U6" s="43" t="str">
        <f t="shared" si="0"/>
        <v/>
      </c>
      <c r="V6" s="43" t="str">
        <f t="shared" si="0"/>
        <v/>
      </c>
      <c r="W6" s="43" t="str">
        <f t="shared" si="0"/>
        <v/>
      </c>
      <c r="X6" s="43" t="str">
        <f t="shared" si="0"/>
        <v/>
      </c>
      <c r="Y6" s="43" t="str">
        <f t="shared" si="0"/>
        <v/>
      </c>
      <c r="Z6" s="43" t="str">
        <f t="shared" si="0"/>
        <v/>
      </c>
      <c r="AA6" s="43" t="str">
        <f t="shared" si="0"/>
        <v/>
      </c>
      <c r="AB6" s="43" t="str">
        <f t="shared" si="0"/>
        <v/>
      </c>
      <c r="AC6" s="43" t="str">
        <f t="shared" si="0"/>
        <v/>
      </c>
      <c r="AD6" s="43" t="str">
        <f t="shared" si="0"/>
        <v/>
      </c>
      <c r="AE6" s="43" t="str">
        <f t="shared" si="0"/>
        <v/>
      </c>
      <c r="AF6" s="43" t="str">
        <f t="shared" si="0"/>
        <v/>
      </c>
      <c r="AG6" s="43" t="str">
        <f t="shared" si="0"/>
        <v/>
      </c>
      <c r="AH6" s="43" t="str">
        <f t="shared" si="0"/>
        <v/>
      </c>
    </row>
    <row r="7" spans="1:35" ht="22.6" hidden="1" customHeight="1">
      <c r="A7" s="44" t="s">
        <v>299</v>
      </c>
      <c r="B7" s="19" t="s">
        <v>300</v>
      </c>
      <c r="C7" s="45" t="s">
        <v>301</v>
      </c>
      <c r="D7" s="46" t="s">
        <v>302</v>
      </c>
      <c r="E7" s="19" t="s">
        <v>303</v>
      </c>
      <c r="F7" s="19" t="s">
        <v>304</v>
      </c>
      <c r="G7" s="19" t="s">
        <v>305</v>
      </c>
      <c r="H7" s="19" t="s">
        <v>306</v>
      </c>
      <c r="I7" s="19" t="s">
        <v>307</v>
      </c>
      <c r="J7" s="19" t="s">
        <v>308</v>
      </c>
      <c r="K7" s="19" t="s">
        <v>309</v>
      </c>
      <c r="L7" s="19" t="s">
        <v>310</v>
      </c>
      <c r="M7" s="19" t="s">
        <v>311</v>
      </c>
      <c r="N7" s="19" t="s">
        <v>312</v>
      </c>
      <c r="O7" s="19" t="s">
        <v>313</v>
      </c>
      <c r="P7" s="19" t="s">
        <v>314</v>
      </c>
      <c r="Q7" s="19" t="s">
        <v>315</v>
      </c>
      <c r="R7" s="19" t="s">
        <v>316</v>
      </c>
      <c r="S7" s="19" t="s">
        <v>317</v>
      </c>
      <c r="T7" s="19" t="s">
        <v>318</v>
      </c>
      <c r="U7" s="19" t="s">
        <v>319</v>
      </c>
      <c r="V7" s="19" t="s">
        <v>320</v>
      </c>
      <c r="W7" s="19" t="s">
        <v>321</v>
      </c>
      <c r="X7" s="19" t="s">
        <v>322</v>
      </c>
      <c r="Y7" s="19" t="s">
        <v>323</v>
      </c>
      <c r="Z7" s="19" t="s">
        <v>324</v>
      </c>
      <c r="AA7" s="19" t="s">
        <v>325</v>
      </c>
      <c r="AB7" s="19" t="s">
        <v>326</v>
      </c>
      <c r="AC7" s="19" t="s">
        <v>327</v>
      </c>
      <c r="AD7" s="19" t="s">
        <v>328</v>
      </c>
      <c r="AE7" s="19" t="s">
        <v>329</v>
      </c>
      <c r="AF7" s="19" t="s">
        <v>330</v>
      </c>
      <c r="AG7" s="19" t="s">
        <v>331</v>
      </c>
      <c r="AH7" s="19" t="s">
        <v>332</v>
      </c>
    </row>
    <row r="8" spans="1:35" ht="22.6" customHeight="1">
      <c r="A8" s="47">
        <f t="shared" ref="A8:A39" si="1">ROW()-7</f>
        <v>1</v>
      </c>
      <c r="B8" s="48"/>
      <c r="C8" s="49" t="s">
        <v>333</v>
      </c>
      <c r="D8" s="50">
        <f t="shared" ref="D8:D39" si="2">IF(C8="","",SUM(E8:AH8))</f>
        <v>88</v>
      </c>
      <c r="E8" s="48">
        <v>2</v>
      </c>
      <c r="F8" s="48">
        <v>2</v>
      </c>
      <c r="G8" s="48">
        <v>2</v>
      </c>
      <c r="H8" s="48">
        <v>2</v>
      </c>
      <c r="I8" s="48">
        <v>2</v>
      </c>
      <c r="J8" s="48">
        <v>2</v>
      </c>
      <c r="K8" s="48">
        <v>2</v>
      </c>
      <c r="L8" s="48">
        <v>2</v>
      </c>
      <c r="M8" s="48">
        <v>5</v>
      </c>
      <c r="N8" s="48">
        <v>5</v>
      </c>
      <c r="O8" s="48">
        <v>5</v>
      </c>
      <c r="P8" s="48">
        <v>5</v>
      </c>
      <c r="Q8" s="48">
        <v>20</v>
      </c>
      <c r="R8" s="48">
        <v>16</v>
      </c>
      <c r="S8" s="48">
        <v>10</v>
      </c>
      <c r="T8" s="48">
        <v>6</v>
      </c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5" ht="22.6" customHeight="1">
      <c r="A9" s="47">
        <f t="shared" si="1"/>
        <v>2</v>
      </c>
      <c r="B9" s="48"/>
      <c r="C9" s="49" t="s">
        <v>334</v>
      </c>
      <c r="D9" s="50">
        <f t="shared" si="2"/>
        <v>92</v>
      </c>
      <c r="E9" s="48">
        <v>2</v>
      </c>
      <c r="F9" s="48">
        <v>2</v>
      </c>
      <c r="G9" s="48">
        <v>1</v>
      </c>
      <c r="H9" s="48">
        <v>4</v>
      </c>
      <c r="I9" s="48">
        <v>3</v>
      </c>
      <c r="J9" s="48">
        <v>2</v>
      </c>
      <c r="K9" s="48">
        <v>2</v>
      </c>
      <c r="L9" s="48">
        <v>2</v>
      </c>
      <c r="M9" s="48">
        <v>5</v>
      </c>
      <c r="N9" s="48">
        <v>5</v>
      </c>
      <c r="O9" s="48">
        <v>5</v>
      </c>
      <c r="P9" s="48">
        <v>5</v>
      </c>
      <c r="Q9" s="48">
        <v>15</v>
      </c>
      <c r="R9" s="48">
        <v>14</v>
      </c>
      <c r="S9" s="48">
        <v>15</v>
      </c>
      <c r="T9" s="48">
        <v>10</v>
      </c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5" ht="22.6" customHeight="1">
      <c r="A10" s="47">
        <f t="shared" si="1"/>
        <v>3</v>
      </c>
      <c r="B10" s="48"/>
      <c r="C10" s="49" t="s">
        <v>335</v>
      </c>
      <c r="D10" s="50">
        <f t="shared" si="2"/>
        <v>85</v>
      </c>
      <c r="E10" s="48">
        <v>3</v>
      </c>
      <c r="F10" s="48">
        <v>2</v>
      </c>
      <c r="G10" s="48">
        <v>2</v>
      </c>
      <c r="H10" s="48">
        <v>2</v>
      </c>
      <c r="I10" s="48">
        <v>2</v>
      </c>
      <c r="J10" s="48">
        <v>1</v>
      </c>
      <c r="K10" s="48">
        <v>2</v>
      </c>
      <c r="L10" s="48">
        <v>4</v>
      </c>
      <c r="M10" s="48">
        <v>5</v>
      </c>
      <c r="N10" s="48">
        <v>5</v>
      </c>
      <c r="O10" s="48">
        <v>5</v>
      </c>
      <c r="P10" s="48">
        <v>5</v>
      </c>
      <c r="Q10" s="48">
        <v>10</v>
      </c>
      <c r="R10" s="48">
        <v>16</v>
      </c>
      <c r="S10" s="48">
        <v>18</v>
      </c>
      <c r="T10" s="48">
        <v>3</v>
      </c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5" ht="22.6" customHeight="1">
      <c r="A11" s="47">
        <f t="shared" si="1"/>
        <v>4</v>
      </c>
      <c r="B11" s="48"/>
      <c r="C11" s="49" t="s">
        <v>336</v>
      </c>
      <c r="D11" s="50">
        <f t="shared" si="2"/>
        <v>93</v>
      </c>
      <c r="E11" s="48">
        <v>3</v>
      </c>
      <c r="F11" s="48">
        <v>3</v>
      </c>
      <c r="G11" s="48">
        <v>3</v>
      </c>
      <c r="H11" s="48">
        <v>1</v>
      </c>
      <c r="I11" s="48">
        <v>2</v>
      </c>
      <c r="J11" s="48">
        <v>3</v>
      </c>
      <c r="K11" s="48">
        <v>2</v>
      </c>
      <c r="L11" s="48">
        <v>2</v>
      </c>
      <c r="M11" s="48">
        <v>5</v>
      </c>
      <c r="N11" s="48">
        <v>5</v>
      </c>
      <c r="O11" s="48">
        <v>5</v>
      </c>
      <c r="P11" s="48">
        <v>5</v>
      </c>
      <c r="Q11" s="48">
        <v>16</v>
      </c>
      <c r="R11" s="48">
        <v>16</v>
      </c>
      <c r="S11" s="48">
        <v>15</v>
      </c>
      <c r="T11" s="48">
        <v>7</v>
      </c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5" ht="22.6" customHeight="1">
      <c r="A12" s="47">
        <f t="shared" si="1"/>
        <v>5</v>
      </c>
      <c r="B12" s="48"/>
      <c r="C12" s="49" t="s">
        <v>337</v>
      </c>
      <c r="D12" s="50">
        <f t="shared" si="2"/>
        <v>96</v>
      </c>
      <c r="E12" s="48">
        <v>2</v>
      </c>
      <c r="F12" s="51">
        <v>3</v>
      </c>
      <c r="G12" s="48">
        <v>3</v>
      </c>
      <c r="H12" s="48">
        <v>2</v>
      </c>
      <c r="I12" s="48">
        <v>2</v>
      </c>
      <c r="J12" s="48">
        <v>2</v>
      </c>
      <c r="K12" s="48">
        <v>3</v>
      </c>
      <c r="L12" s="48">
        <v>2</v>
      </c>
      <c r="M12" s="48">
        <v>5</v>
      </c>
      <c r="N12" s="48">
        <v>5</v>
      </c>
      <c r="O12" s="48">
        <v>5</v>
      </c>
      <c r="P12" s="48">
        <v>5</v>
      </c>
      <c r="Q12" s="48">
        <v>20</v>
      </c>
      <c r="R12" s="48">
        <v>16</v>
      </c>
      <c r="S12" s="48">
        <v>14</v>
      </c>
      <c r="T12" s="48">
        <v>7</v>
      </c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  <row r="13" spans="1:35" ht="22.6" customHeight="1">
      <c r="A13" s="47">
        <f t="shared" si="1"/>
        <v>6</v>
      </c>
      <c r="B13" s="48"/>
      <c r="C13" s="49" t="s">
        <v>338</v>
      </c>
      <c r="D13" s="50">
        <f t="shared" si="2"/>
        <v>97</v>
      </c>
      <c r="E13" s="48">
        <v>1.5</v>
      </c>
      <c r="F13" s="48">
        <v>3</v>
      </c>
      <c r="G13" s="48">
        <v>2</v>
      </c>
      <c r="H13" s="48">
        <v>3</v>
      </c>
      <c r="I13" s="48">
        <v>2.5</v>
      </c>
      <c r="J13" s="48">
        <v>2</v>
      </c>
      <c r="K13" s="48">
        <v>2</v>
      </c>
      <c r="L13" s="48">
        <v>3</v>
      </c>
      <c r="M13" s="48">
        <v>5</v>
      </c>
      <c r="N13" s="48">
        <v>5</v>
      </c>
      <c r="O13" s="48">
        <v>5</v>
      </c>
      <c r="P13" s="48">
        <v>5</v>
      </c>
      <c r="Q13" s="48">
        <v>20</v>
      </c>
      <c r="R13" s="48">
        <v>16</v>
      </c>
      <c r="S13" s="48">
        <v>14</v>
      </c>
      <c r="T13" s="48">
        <v>8</v>
      </c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</row>
    <row r="14" spans="1:35" ht="22.6" customHeight="1">
      <c r="A14" s="47">
        <f t="shared" si="1"/>
        <v>7</v>
      </c>
      <c r="B14" s="48"/>
      <c r="C14" s="49" t="s">
        <v>339</v>
      </c>
      <c r="D14" s="50">
        <f t="shared" si="2"/>
        <v>97</v>
      </c>
      <c r="E14" s="48">
        <v>2</v>
      </c>
      <c r="F14" s="48">
        <v>2.5</v>
      </c>
      <c r="G14" s="48">
        <v>3</v>
      </c>
      <c r="H14" s="48">
        <v>2</v>
      </c>
      <c r="I14" s="48">
        <v>2.5</v>
      </c>
      <c r="J14" s="48">
        <v>2</v>
      </c>
      <c r="K14" s="48">
        <v>2</v>
      </c>
      <c r="L14" s="48">
        <v>3</v>
      </c>
      <c r="M14" s="48">
        <v>5</v>
      </c>
      <c r="N14" s="48">
        <v>5</v>
      </c>
      <c r="O14" s="48">
        <v>5</v>
      </c>
      <c r="P14" s="48">
        <v>5</v>
      </c>
      <c r="Q14" s="48">
        <v>20</v>
      </c>
      <c r="R14" s="48">
        <v>16</v>
      </c>
      <c r="S14" s="48">
        <v>14</v>
      </c>
      <c r="T14" s="48">
        <v>8</v>
      </c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</row>
    <row r="15" spans="1:35" ht="22.6" customHeight="1">
      <c r="A15" s="47">
        <f t="shared" si="1"/>
        <v>8</v>
      </c>
      <c r="B15" s="48"/>
      <c r="C15" s="49" t="s">
        <v>340</v>
      </c>
      <c r="D15" s="50">
        <f t="shared" si="2"/>
        <v>98</v>
      </c>
      <c r="E15" s="48">
        <v>2.5</v>
      </c>
      <c r="F15" s="48">
        <v>2.5</v>
      </c>
      <c r="G15" s="48">
        <v>2.5</v>
      </c>
      <c r="H15" s="48">
        <v>2.5</v>
      </c>
      <c r="I15" s="48">
        <v>2</v>
      </c>
      <c r="J15" s="48">
        <v>3</v>
      </c>
      <c r="K15" s="48">
        <v>2</v>
      </c>
      <c r="L15" s="48">
        <v>3</v>
      </c>
      <c r="M15" s="48">
        <v>5</v>
      </c>
      <c r="N15" s="48">
        <v>5</v>
      </c>
      <c r="O15" s="48">
        <v>5</v>
      </c>
      <c r="P15" s="48">
        <v>5</v>
      </c>
      <c r="Q15" s="48">
        <v>20</v>
      </c>
      <c r="R15" s="48">
        <v>16</v>
      </c>
      <c r="S15" s="48">
        <v>14</v>
      </c>
      <c r="T15" s="48">
        <v>8</v>
      </c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</row>
    <row r="16" spans="1:35" ht="22.6" customHeight="1">
      <c r="A16" s="52">
        <f t="shared" si="1"/>
        <v>9</v>
      </c>
      <c r="B16" s="48"/>
      <c r="C16" s="49" t="s">
        <v>341</v>
      </c>
      <c r="D16" s="50">
        <f t="shared" si="2"/>
        <v>91</v>
      </c>
      <c r="E16" s="48">
        <v>3</v>
      </c>
      <c r="F16" s="48">
        <v>2</v>
      </c>
      <c r="G16" s="48">
        <v>3</v>
      </c>
      <c r="H16" s="48">
        <v>2</v>
      </c>
      <c r="I16" s="48">
        <v>2</v>
      </c>
      <c r="J16" s="48">
        <v>2</v>
      </c>
      <c r="K16" s="48">
        <v>2</v>
      </c>
      <c r="L16" s="48">
        <v>3</v>
      </c>
      <c r="M16" s="48">
        <v>5</v>
      </c>
      <c r="N16" s="48">
        <v>5</v>
      </c>
      <c r="O16" s="48">
        <v>5</v>
      </c>
      <c r="P16" s="48">
        <v>5</v>
      </c>
      <c r="Q16" s="48">
        <v>15</v>
      </c>
      <c r="R16" s="48">
        <v>16</v>
      </c>
      <c r="S16" s="48">
        <v>14</v>
      </c>
      <c r="T16" s="48">
        <v>7</v>
      </c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</row>
    <row r="17" spans="1:34" ht="22.6" customHeight="1">
      <c r="A17" s="52">
        <f t="shared" si="1"/>
        <v>10</v>
      </c>
      <c r="B17" s="48"/>
      <c r="C17" s="49" t="s">
        <v>342</v>
      </c>
      <c r="D17" s="50">
        <f t="shared" si="2"/>
        <v>83</v>
      </c>
      <c r="E17" s="48">
        <v>2.5</v>
      </c>
      <c r="F17" s="48">
        <v>3</v>
      </c>
      <c r="G17" s="48">
        <v>2</v>
      </c>
      <c r="H17" s="48">
        <v>2</v>
      </c>
      <c r="I17" s="48">
        <v>2</v>
      </c>
      <c r="J17" s="48">
        <v>1.5</v>
      </c>
      <c r="K17" s="48">
        <v>3</v>
      </c>
      <c r="L17" s="48">
        <v>3</v>
      </c>
      <c r="M17" s="48">
        <v>5</v>
      </c>
      <c r="N17" s="48">
        <v>5</v>
      </c>
      <c r="O17" s="48">
        <v>5</v>
      </c>
      <c r="P17" s="48">
        <v>5</v>
      </c>
      <c r="Q17" s="48">
        <v>10</v>
      </c>
      <c r="R17" s="48">
        <v>16</v>
      </c>
      <c r="S17" s="48">
        <v>14</v>
      </c>
      <c r="T17" s="58">
        <v>4</v>
      </c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</row>
    <row r="18" spans="1:34" ht="22.6" customHeight="1">
      <c r="A18" s="53">
        <f t="shared" si="1"/>
        <v>11</v>
      </c>
      <c r="B18" s="48"/>
      <c r="C18" s="54" t="s">
        <v>343</v>
      </c>
      <c r="D18" s="55">
        <f t="shared" si="2"/>
        <v>98</v>
      </c>
      <c r="E18" s="48">
        <v>2</v>
      </c>
      <c r="F18" s="48">
        <v>3</v>
      </c>
      <c r="G18" s="48">
        <v>2</v>
      </c>
      <c r="H18" s="48">
        <v>3</v>
      </c>
      <c r="I18" s="48">
        <v>3</v>
      </c>
      <c r="J18" s="48">
        <v>3</v>
      </c>
      <c r="K18" s="48">
        <v>2</v>
      </c>
      <c r="L18" s="48">
        <v>2</v>
      </c>
      <c r="M18" s="48">
        <v>5</v>
      </c>
      <c r="N18" s="48">
        <v>5</v>
      </c>
      <c r="O18" s="48">
        <v>5</v>
      </c>
      <c r="P18" s="48">
        <v>5</v>
      </c>
      <c r="Q18" s="48">
        <v>20</v>
      </c>
      <c r="R18" s="48">
        <v>16</v>
      </c>
      <c r="S18" s="48">
        <v>14</v>
      </c>
      <c r="T18" s="48">
        <v>8</v>
      </c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</row>
    <row r="19" spans="1:34" ht="22.6" customHeight="1">
      <c r="A19" s="53">
        <f t="shared" si="1"/>
        <v>12</v>
      </c>
      <c r="B19" s="48"/>
      <c r="C19" s="54" t="s">
        <v>344</v>
      </c>
      <c r="D19" s="55">
        <f t="shared" si="2"/>
        <v>80</v>
      </c>
      <c r="E19" s="48">
        <v>2</v>
      </c>
      <c r="F19" s="48">
        <v>2</v>
      </c>
      <c r="G19" s="48">
        <v>2</v>
      </c>
      <c r="H19" s="48">
        <v>2</v>
      </c>
      <c r="I19" s="48">
        <v>3</v>
      </c>
      <c r="J19" s="48">
        <v>1</v>
      </c>
      <c r="K19" s="48">
        <v>2</v>
      </c>
      <c r="L19" s="48">
        <v>2</v>
      </c>
      <c r="M19" s="48">
        <v>5</v>
      </c>
      <c r="N19" s="48">
        <v>5</v>
      </c>
      <c r="O19" s="48">
        <v>5</v>
      </c>
      <c r="P19" s="48">
        <v>5</v>
      </c>
      <c r="Q19" s="48">
        <v>15</v>
      </c>
      <c r="R19" s="48">
        <v>10</v>
      </c>
      <c r="S19" s="48">
        <v>10</v>
      </c>
      <c r="T19" s="48">
        <v>9</v>
      </c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ht="22.6" customHeight="1">
      <c r="A20" s="53">
        <f t="shared" si="1"/>
        <v>13</v>
      </c>
      <c r="B20" s="48"/>
      <c r="C20" s="54" t="s">
        <v>345</v>
      </c>
      <c r="D20" s="55">
        <f t="shared" si="2"/>
        <v>0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 spans="1:34" ht="22.6" customHeight="1">
      <c r="A21" s="53">
        <f t="shared" si="1"/>
        <v>14</v>
      </c>
      <c r="B21" s="48"/>
      <c r="C21" s="54" t="s">
        <v>346</v>
      </c>
      <c r="D21" s="55">
        <f t="shared" si="2"/>
        <v>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</row>
    <row r="22" spans="1:34" ht="22.6" customHeight="1">
      <c r="A22" s="53">
        <f t="shared" si="1"/>
        <v>15</v>
      </c>
      <c r="B22" s="48"/>
      <c r="C22" s="54" t="s">
        <v>347</v>
      </c>
      <c r="D22" s="55">
        <f t="shared" si="2"/>
        <v>0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  <row r="23" spans="1:34" ht="22.6" customHeight="1">
      <c r="A23" s="53">
        <f t="shared" si="1"/>
        <v>16</v>
      </c>
      <c r="B23" s="48"/>
      <c r="C23" s="54" t="s">
        <v>348</v>
      </c>
      <c r="D23" s="55">
        <f t="shared" si="2"/>
        <v>0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 spans="1:34" ht="22.6" customHeight="1">
      <c r="A24" s="53">
        <f t="shared" si="1"/>
        <v>17</v>
      </c>
      <c r="B24" s="48"/>
      <c r="C24" s="54" t="s">
        <v>349</v>
      </c>
      <c r="D24" s="55">
        <f t="shared" si="2"/>
        <v>0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</row>
    <row r="25" spans="1:34" ht="22.6" customHeight="1">
      <c r="A25" s="53">
        <f t="shared" si="1"/>
        <v>18</v>
      </c>
      <c r="B25" s="48"/>
      <c r="C25" s="54" t="s">
        <v>350</v>
      </c>
      <c r="D25" s="55">
        <f t="shared" si="2"/>
        <v>0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</row>
    <row r="26" spans="1:34" ht="22.6" customHeight="1">
      <c r="A26" s="53">
        <f t="shared" si="1"/>
        <v>19</v>
      </c>
      <c r="B26" s="48"/>
      <c r="C26" s="54" t="s">
        <v>351</v>
      </c>
      <c r="D26" s="55">
        <f t="shared" si="2"/>
        <v>0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 spans="1:34" ht="22.6" customHeight="1">
      <c r="A27" s="53">
        <f t="shared" si="1"/>
        <v>20</v>
      </c>
      <c r="B27" s="48"/>
      <c r="C27" s="54" t="s">
        <v>352</v>
      </c>
      <c r="D27" s="55">
        <f t="shared" si="2"/>
        <v>0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</row>
    <row r="28" spans="1:34" ht="22.6" customHeight="1">
      <c r="A28" s="53">
        <f t="shared" si="1"/>
        <v>21</v>
      </c>
      <c r="B28" s="48"/>
      <c r="C28" s="54" t="s">
        <v>353</v>
      </c>
      <c r="D28" s="55">
        <f t="shared" si="2"/>
        <v>0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</row>
    <row r="29" spans="1:34" ht="22.6" customHeight="1">
      <c r="A29" s="53">
        <f t="shared" si="1"/>
        <v>22</v>
      </c>
      <c r="B29" s="48"/>
      <c r="C29" s="54" t="s">
        <v>354</v>
      </c>
      <c r="D29" s="55">
        <f t="shared" si="2"/>
        <v>0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</row>
    <row r="30" spans="1:34" ht="22.6" customHeight="1">
      <c r="A30" s="53">
        <f t="shared" si="1"/>
        <v>23</v>
      </c>
      <c r="B30" s="48"/>
      <c r="C30" s="54" t="s">
        <v>355</v>
      </c>
      <c r="D30" s="55">
        <f t="shared" si="2"/>
        <v>0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 spans="1:34" ht="22.6" customHeight="1">
      <c r="A31" s="53">
        <f t="shared" si="1"/>
        <v>24</v>
      </c>
      <c r="B31" s="48"/>
      <c r="C31" s="56"/>
      <c r="D31" s="55" t="str">
        <f t="shared" si="2"/>
        <v/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</row>
    <row r="32" spans="1:34" ht="22.6" customHeight="1">
      <c r="A32" s="53">
        <f t="shared" si="1"/>
        <v>25</v>
      </c>
      <c r="B32" s="48"/>
      <c r="C32" s="56"/>
      <c r="D32" s="55" t="str">
        <f t="shared" si="2"/>
        <v/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</row>
    <row r="33" spans="1:34" ht="22.6" customHeight="1">
      <c r="A33" s="53">
        <f t="shared" si="1"/>
        <v>26</v>
      </c>
      <c r="B33" s="48"/>
      <c r="C33" s="56"/>
      <c r="D33" s="55" t="str">
        <f t="shared" si="2"/>
        <v/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 spans="1:34" ht="22.6" customHeight="1">
      <c r="A34" s="53">
        <f t="shared" si="1"/>
        <v>27</v>
      </c>
      <c r="B34" s="48"/>
      <c r="C34" s="56"/>
      <c r="D34" s="55" t="str">
        <f t="shared" si="2"/>
        <v/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 spans="1:34" ht="22.6" customHeight="1">
      <c r="A35" s="53">
        <f t="shared" si="1"/>
        <v>28</v>
      </c>
      <c r="B35" s="48"/>
      <c r="C35" s="56"/>
      <c r="D35" s="55" t="str">
        <f t="shared" si="2"/>
        <v/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 spans="1:34" ht="22.6" customHeight="1">
      <c r="A36" s="53">
        <f t="shared" si="1"/>
        <v>29</v>
      </c>
      <c r="B36" s="48"/>
      <c r="C36" s="56"/>
      <c r="D36" s="55" t="str">
        <f t="shared" si="2"/>
        <v/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</row>
    <row r="37" spans="1:34" ht="22.6" customHeight="1">
      <c r="A37" s="53">
        <f t="shared" si="1"/>
        <v>30</v>
      </c>
      <c r="B37" s="48"/>
      <c r="C37" s="56"/>
      <c r="D37" s="55" t="str">
        <f t="shared" si="2"/>
        <v/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</row>
    <row r="38" spans="1:34" ht="22.6" customHeight="1">
      <c r="A38" s="53">
        <f t="shared" si="1"/>
        <v>31</v>
      </c>
      <c r="B38" s="48"/>
      <c r="C38" s="56"/>
      <c r="D38" s="55" t="str">
        <f t="shared" si="2"/>
        <v/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</row>
    <row r="39" spans="1:34" ht="22.6" customHeight="1">
      <c r="A39" s="53">
        <f t="shared" si="1"/>
        <v>32</v>
      </c>
      <c r="B39" s="48"/>
      <c r="C39" s="56"/>
      <c r="D39" s="55" t="str">
        <f t="shared" si="2"/>
        <v/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</row>
    <row r="40" spans="1:34" ht="22.6" customHeight="1">
      <c r="A40" s="53">
        <f t="shared" ref="A40:A47" si="3">ROW()-7</f>
        <v>33</v>
      </c>
      <c r="B40" s="48"/>
      <c r="C40" s="56"/>
      <c r="D40" s="55" t="str">
        <f t="shared" ref="D40:D47" si="4">IF(C40="","",SUM(E40:AH40))</f>
        <v/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spans="1:34" ht="22.6" customHeight="1">
      <c r="A41" s="53">
        <f t="shared" si="3"/>
        <v>34</v>
      </c>
      <c r="B41" s="48"/>
      <c r="C41" s="56"/>
      <c r="D41" s="55" t="str">
        <f t="shared" si="4"/>
        <v/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</row>
    <row r="42" spans="1:34" ht="22.6" customHeight="1">
      <c r="A42" s="53">
        <f t="shared" si="3"/>
        <v>35</v>
      </c>
      <c r="B42" s="48"/>
      <c r="C42" s="56"/>
      <c r="D42" s="55" t="str">
        <f t="shared" si="4"/>
        <v/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</row>
    <row r="43" spans="1:34" ht="22.6" customHeight="1">
      <c r="A43" s="53">
        <f t="shared" si="3"/>
        <v>36</v>
      </c>
      <c r="B43" s="48"/>
      <c r="C43" s="56"/>
      <c r="D43" s="55" t="str">
        <f t="shared" si="4"/>
        <v/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22.6" customHeight="1">
      <c r="A44" s="53">
        <f t="shared" si="3"/>
        <v>37</v>
      </c>
      <c r="B44" s="48"/>
      <c r="C44" s="56"/>
      <c r="D44" s="55" t="str">
        <f t="shared" si="4"/>
        <v/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22.6" customHeight="1">
      <c r="A45" s="53">
        <f t="shared" si="3"/>
        <v>38</v>
      </c>
      <c r="B45" s="48"/>
      <c r="C45" s="56"/>
      <c r="D45" s="55" t="str">
        <f t="shared" si="4"/>
        <v/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22.6" customHeight="1">
      <c r="A46" s="53">
        <f t="shared" si="3"/>
        <v>39</v>
      </c>
      <c r="B46" s="48"/>
      <c r="C46" s="56"/>
      <c r="D46" s="55" t="str">
        <f t="shared" si="4"/>
        <v/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22.6" customHeight="1">
      <c r="A47" s="53">
        <f t="shared" si="3"/>
        <v>40</v>
      </c>
      <c r="B47" s="48"/>
      <c r="C47" s="56"/>
      <c r="D47" s="55" t="str">
        <f t="shared" si="4"/>
        <v/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</sheetData>
  <sheetProtection formatCells="0" formatColumns="0" formatRows="0"/>
  <conditionalFormatting sqref="C8:C47">
    <cfRule type="expression" dxfId="9" priority="32">
      <formula>AND(SUM(E8:AU8)&gt;0,C8="")</formula>
    </cfRule>
  </conditionalFormatting>
  <conditionalFormatting sqref="E3:AH3">
    <cfRule type="expression" dxfId="7" priority="36">
      <formula>AND(E3="",OR(E4&lt;&gt;"",SUM(E8:E47)&gt;0))</formula>
    </cfRule>
  </conditionalFormatting>
  <conditionalFormatting sqref="E4:AH4">
    <cfRule type="expression" dxfId="6" priority="37">
      <formula>AND(E4="",OR(E3&lt;&gt;"",SUM(E8:E47)&gt;0))</formula>
    </cfRule>
  </conditionalFormatting>
  <conditionalFormatting sqref="E5:AH5">
    <cfRule type="containsText" dxfId="5" priority="31" operator="containsText" text="جدول نواتج التعلم">
      <formula>NOT(ISERROR(SEARCH("جدول نواتج التعلم",E5)))</formula>
    </cfRule>
  </conditionalFormatting>
  <conditionalFormatting sqref="E8:AH11 E12 G12:K12 M12:AH12 E13:AH47">
    <cfRule type="expression" dxfId="4" priority="33">
      <formula>AND(E$4&lt;&gt;"",E8&gt;E$4)</formula>
    </cfRule>
  </conditionalFormatting>
  <conditionalFormatting sqref="L12">
    <cfRule type="expression" dxfId="3" priority="42">
      <formula>AND(F$4&lt;&gt;"",L12&gt;F$4)</formula>
    </cfRule>
  </conditionalFormatting>
  <conditionalFormatting sqref="AI4">
    <cfRule type="cellIs" dxfId="2" priority="1" operator="notEqual">
      <formula>100</formula>
    </cfRule>
  </conditionalFormatting>
  <dataValidations count="1">
    <dataValidation type="decimal" operator="greaterThanOrEqual" allowBlank="1" showInputMessage="1" showErrorMessage="1" error="اكتب رقمًا صحيحًا أو عشريًّا" sqref="E4:AH4 E12 G12:L12 E8:L11 E13:L47 M8:AH47" xr:uid="{00000000-0002-0000-0200-000001000000}">
      <formula1>0</formula1>
    </dataValidation>
  </dataValidations>
  <pageMargins left="0.70866141732283505" right="0.70866141732283505" top="0.74803149606299202" bottom="0.74803149606299202" header="0.31496062992126" footer="0.31496062992126"/>
  <pageSetup scale="35" fitToHeight="0" orientation="landscape" horizontalDpi="300"/>
  <headerFooter>
    <oddFooter>&amp;CPrepared by: Muhammad Akram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00000000-000E-0000-0200-000023000000}">
            <xm:f>VLOOKUP(E$3,'نواتج التعلم'!$B$10:$C$22,2,FALSE)=""</xm:f>
            <x14:dxf>
              <fill>
                <patternFill patternType="solid">
                  <bgColor rgb="FFFFC000"/>
                </patternFill>
              </fill>
            </x14:dxf>
          </x14:cfRule>
          <xm:sqref>E3:AH3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اختر من القائمة المنسدلة" xr:uid="{00000000-0002-0000-0200-000000000000}">
          <x14:formula1>
            <xm:f>'نواتج التعلم'!$B$10:$B$22</xm:f>
          </x14:formula1>
          <xm:sqref>E3:AH3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1">
    <pageSetUpPr fitToPage="1"/>
  </sheetPr>
  <dimension ref="A1:X61"/>
  <sheetViews>
    <sheetView showGridLines="0" tabSelected="1" zoomScale="70" zoomScaleNormal="70" workbookViewId="0">
      <pane xSplit="3" ySplit="1" topLeftCell="E2" activePane="bottomRight" state="frozen"/>
      <selection pane="topRight"/>
      <selection pane="bottomLeft"/>
      <selection pane="bottomRight" activeCell="D6" sqref="D6"/>
    </sheetView>
  </sheetViews>
  <sheetFormatPr defaultColWidth="8.69921875" defaultRowHeight="22.6" customHeight="1"/>
  <cols>
    <col min="1" max="1" width="6.69921875" style="1" customWidth="1"/>
    <col min="2" max="2" width="14.796875" style="1" customWidth="1"/>
    <col min="3" max="3" width="22.69921875" style="1" customWidth="1"/>
    <col min="4" max="16" width="9.69921875" style="1" customWidth="1"/>
    <col min="17" max="17" width="15.69921875" style="1" customWidth="1"/>
    <col min="18" max="18" width="11.296875" style="1" customWidth="1"/>
    <col min="19" max="19" width="12" style="1" customWidth="1"/>
    <col min="20" max="22" width="8.69921875" style="1"/>
    <col min="23" max="23" width="9.5" style="1" customWidth="1"/>
    <col min="24" max="24" width="10.69921875" style="1" customWidth="1"/>
    <col min="25" max="16384" width="8.69921875" style="1"/>
  </cols>
  <sheetData>
    <row r="1" spans="1:24" ht="22.6" customHeight="1">
      <c r="A1" s="122" t="s">
        <v>260</v>
      </c>
      <c r="B1" s="106" t="s">
        <v>356</v>
      </c>
      <c r="C1" s="107"/>
      <c r="D1" s="3">
        <v>1.1000000000000001</v>
      </c>
      <c r="E1" s="3">
        <v>1.2</v>
      </c>
      <c r="F1" s="3">
        <v>1.3</v>
      </c>
      <c r="G1" s="3">
        <v>1.4</v>
      </c>
      <c r="H1" s="3">
        <v>1.5</v>
      </c>
      <c r="I1" s="3">
        <v>2.1</v>
      </c>
      <c r="J1" s="3">
        <v>2.2000000000000002</v>
      </c>
      <c r="K1" s="3">
        <v>2.2999999999999998</v>
      </c>
      <c r="L1" s="3">
        <v>2.4</v>
      </c>
      <c r="M1" s="3">
        <v>2.5</v>
      </c>
      <c r="N1" s="3">
        <v>3.1</v>
      </c>
      <c r="O1" s="3">
        <v>3.2</v>
      </c>
      <c r="P1" s="3">
        <v>3.3</v>
      </c>
      <c r="W1" s="24" t="s">
        <v>357</v>
      </c>
      <c r="X1" s="25">
        <v>45333</v>
      </c>
    </row>
    <row r="2" spans="1:24" ht="100.55" customHeight="1">
      <c r="A2" s="123"/>
      <c r="B2" s="106" t="s">
        <v>298</v>
      </c>
      <c r="C2" s="107"/>
      <c r="D2" s="4" t="str">
        <f>IFERROR(IF('نواتج التعلم'!C10=0,"",'نواتج التعلم'!C10),"")</f>
        <v>معرفة المحاسبة ومجالاتها ودروها الاقتصادي</v>
      </c>
      <c r="E2" s="4" t="str">
        <f>IFERROR(IF('نواتج التعلم'!C11=0,"",'نواتج التعلم'!C11),"")</f>
        <v>معرفة كيف يتم العمل المحاسبي في كل من المحاسبة المالية والحكومية والوطنية ومحاسة التكاليف</v>
      </c>
      <c r="F2" s="4" t="str">
        <f>IFERROR(IF('نواتج التعلم'!C12=0,"",'نواتج التعلم'!C12),"")</f>
        <v>معرفة كيفية إعداد القوائم المالية وقراءتها وتحليلها واستخلاص المعلومات منها</v>
      </c>
      <c r="G2" s="4" t="str">
        <f>IFERROR(IF('نواتج التعلم'!C13=0,"",'نواتج التعلم'!C13),"")</f>
        <v/>
      </c>
      <c r="H2" s="4" t="str">
        <f>IFERROR(IF('نواتج التعلم'!C14=0,"",'نواتج التعلم'!C14),"")</f>
        <v/>
      </c>
      <c r="I2" s="4" t="str">
        <f>IFERROR(IF('نواتج التعلم'!C15=0,"",'نواتج التعلم'!C15),"")</f>
        <v>القدرة على العمل في المجال المحاسبي</v>
      </c>
      <c r="J2" s="4" t="str">
        <f>IFERROR(IF('نواتج التعلم'!C16=0,"",'نواتج التعلم'!C16),"")</f>
        <v>القدرة على تحليل وقراءة القوائم المالية</v>
      </c>
      <c r="K2" s="4" t="str">
        <f>IFERROR(IF('نواتج التعلم'!C17=0,"",'نواتج التعلم'!C17),"")</f>
        <v>الربط بين المحاسبة والاقتصاد</v>
      </c>
      <c r="L2" s="4" t="str">
        <f>IFERROR(IF('نواتج التعلم'!C18=0,"",'نواتج التعلم'!C18),"")</f>
        <v/>
      </c>
      <c r="M2" s="4" t="str">
        <f>IFERROR(IF('نواتج التعلم'!C19=0,"",'نواتج التعلم'!C19),"")</f>
        <v/>
      </c>
      <c r="N2" s="4" t="str">
        <f>IFERROR(IF('نواتج التعلم'!C20=0,"",'نواتج التعلم'!C20),"")</f>
        <v>المشاركة مع الطلاب في المناقشات والواجبات الجماعية</v>
      </c>
      <c r="O2" s="4" t="str">
        <f>IFERROR(IF('نواتج التعلم'!C21=0,"",'نواتج التعلم'!C21),"")</f>
        <v>أن يعتمد الطالب على الذات في تحصيل العلم والقيام بالواجبات الفردية المطلوبة</v>
      </c>
      <c r="P2" s="4" t="str">
        <f>IFERROR(IF('نواتج التعلم'!C22=0,"",'نواتج التعلم'!C22),"")</f>
        <v>المشاركة مع الطلاب في المناقشات والواجبات الجماعية</v>
      </c>
    </row>
    <row r="3" spans="1:24" ht="22.6" customHeight="1">
      <c r="A3" s="123"/>
      <c r="B3" s="106" t="s">
        <v>358</v>
      </c>
      <c r="C3" s="107"/>
      <c r="D3" s="5">
        <f>IF(D2="","",COUNTIF('رصد الدرجات'!$3:$3,D1))</f>
        <v>1</v>
      </c>
      <c r="E3" s="5">
        <f>IF(E2="","",COUNTIF('رصد الدرجات'!$3:$3,E1))</f>
        <v>5</v>
      </c>
      <c r="F3" s="5">
        <f>IF(F2="","",COUNTIF('رصد الدرجات'!$3:$3,F1))</f>
        <v>3</v>
      </c>
      <c r="G3" s="5" t="str">
        <f>IF(G2="","",COUNTIF('رصد الدرجات'!$3:$3,G1))</f>
        <v/>
      </c>
      <c r="H3" s="5" t="str">
        <f>IF(H2="","",COUNTIF('رصد الدرجات'!$3:$3,H1))</f>
        <v/>
      </c>
      <c r="I3" s="5">
        <f>IF(I2="","",COUNTIF('رصد الدرجات'!$3:$3,I1))</f>
        <v>1</v>
      </c>
      <c r="J3" s="5">
        <f>IF(J2="","",COUNTIF('رصد الدرجات'!$3:$3,J1))</f>
        <v>3</v>
      </c>
      <c r="K3" s="5">
        <f>IF(K2="","",COUNTIF('رصد الدرجات'!$3:$3,K1))</f>
        <v>3</v>
      </c>
      <c r="L3" s="5" t="str">
        <f>IF(L2="","",COUNTIF('رصد الدرجات'!$3:$3,L1))</f>
        <v/>
      </c>
      <c r="M3" s="5" t="str">
        <f>IF(M2="","",COUNTIF('رصد الدرجات'!$3:$3,M1))</f>
        <v/>
      </c>
      <c r="N3" s="5">
        <f>IF(N2="","",COUNTIF('رصد الدرجات'!$3:$3,N1))</f>
        <v>0</v>
      </c>
      <c r="O3" s="5">
        <f>IF(O2="","",COUNTIF('رصد الدرجات'!$3:$3,O1))</f>
        <v>0</v>
      </c>
      <c r="P3" s="5">
        <f>IF(P2="","",COUNTIF('رصد الدرجات'!$3:$3,P1))</f>
        <v>0</v>
      </c>
    </row>
    <row r="4" spans="1:24" ht="22.6" customHeight="1">
      <c r="A4" s="124"/>
      <c r="B4" s="106" t="s">
        <v>359</v>
      </c>
      <c r="C4" s="107"/>
      <c r="D4" s="5">
        <f>IF(D2="","",SUMIF('رصد الدرجات'!$3:$3,D$1,'رصد الدرجات'!$4:$4))</f>
        <v>0</v>
      </c>
      <c r="E4" s="5">
        <f>IF(E2="","",SUMIF('رصد الدرجات'!$3:$3,E$1,'رصد الدرجات'!$4:$4))</f>
        <v>0</v>
      </c>
      <c r="F4" s="5">
        <f>IF(F2="","",SUMIF('رصد الدرجات'!$3:$3,F$1,'رصد الدرجات'!$4:$4))</f>
        <v>0</v>
      </c>
      <c r="G4" s="5" t="str">
        <f>IF(G2="","",SUMIF('رصد الدرجات'!$3:$3,G$1,'رصد الدرجات'!$4:$4))</f>
        <v/>
      </c>
      <c r="H4" s="5" t="str">
        <f>IF(H2="","",SUMIF('رصد الدرجات'!$3:$3,H$1,'رصد الدرجات'!$4:$4))</f>
        <v/>
      </c>
      <c r="I4" s="5">
        <f>IF(I2="","",SUMIF('رصد الدرجات'!$3:$3,I$1,'رصد الدرجات'!$4:$4))</f>
        <v>0</v>
      </c>
      <c r="J4" s="5">
        <f>IF(J2="","",SUMIF('رصد الدرجات'!$3:$3,J$1,'رصد الدرجات'!$4:$4))</f>
        <v>0</v>
      </c>
      <c r="K4" s="5">
        <f>IF(K2="","",SUMIF('رصد الدرجات'!$3:$3,K$1,'رصد الدرجات'!$4:$4))</f>
        <v>0</v>
      </c>
      <c r="L4" s="5" t="str">
        <f>IF(L2="","",SUMIF('رصد الدرجات'!$3:$3,L$1,'رصد الدرجات'!$4:$4))</f>
        <v/>
      </c>
      <c r="M4" s="5" t="str">
        <f>IF(M2="","",SUMIF('رصد الدرجات'!$3:$3,M$1,'رصد الدرجات'!$4:$4))</f>
        <v/>
      </c>
      <c r="N4" s="5">
        <f>IF(N2="","",SUMIF('رصد الدرجات'!$3:$3,N$1,'رصد الدرجات'!$4:$4))</f>
        <v>0</v>
      </c>
      <c r="O4" s="5">
        <f>IF(O2="","",SUMIF('رصد الدرجات'!$3:$3,O$1,'رصد الدرجات'!$4:$4))</f>
        <v>0</v>
      </c>
      <c r="P4" s="5">
        <f>IF(P2="","",SUMIF('رصد الدرجات'!$3:$3,P$1,'رصد الدرجات'!$4:$4))</f>
        <v>0</v>
      </c>
    </row>
    <row r="5" spans="1:24" ht="11.25" customHeight="1">
      <c r="O5" s="1" t="s">
        <v>360</v>
      </c>
    </row>
    <row r="6" spans="1:24" ht="22.6" customHeight="1">
      <c r="A6" s="122" t="s">
        <v>361</v>
      </c>
      <c r="B6" s="128" t="s">
        <v>265</v>
      </c>
      <c r="C6" s="129"/>
      <c r="D6" s="6">
        <f>IF(D2="","",VLOOKUP(D1,نواتج_التعلم[],4,FALSE))</f>
        <v>0.75</v>
      </c>
      <c r="E6" s="6">
        <f>IF(E2="","",VLOOKUP(E1,نواتج_التعلم[],4,FALSE))</f>
        <v>0.75</v>
      </c>
      <c r="F6" s="6">
        <f>IF(F2="","",VLOOKUP(F1,نواتج_التعلم[],4,FALSE))</f>
        <v>0.75</v>
      </c>
      <c r="G6" s="6" t="str">
        <f>IF(G2="","",VLOOKUP(G1,نواتج_التعلم[],4,FALSE))</f>
        <v/>
      </c>
      <c r="H6" s="6" t="str">
        <f>IF(H2="","",VLOOKUP(H1,نواتج_التعلم[],4,FALSE))</f>
        <v/>
      </c>
      <c r="I6" s="6">
        <f>IF(I2="","",VLOOKUP(I1,نواتج_التعلم[],4,FALSE))</f>
        <v>0.75</v>
      </c>
      <c r="J6" s="6">
        <f>IF(J2="","",VLOOKUP(J1,نواتج_التعلم[],4,FALSE))</f>
        <v>0.75</v>
      </c>
      <c r="K6" s="6">
        <f>IF(K2="","",VLOOKUP(K1,نواتج_التعلم[],4,FALSE))</f>
        <v>0.75</v>
      </c>
      <c r="L6" s="6" t="str">
        <f>IF(L2="","",VLOOKUP(L1,نواتج_التعلم[],4,FALSE))</f>
        <v/>
      </c>
      <c r="M6" s="6" t="str">
        <f>IF(M2="","",VLOOKUP(M1,نواتج_التعلم[],4,FALSE))</f>
        <v/>
      </c>
      <c r="N6" s="6">
        <f>IF(N2="","",VLOOKUP(N1,نواتج_التعلم[],4,FALSE))</f>
        <v>0.75</v>
      </c>
      <c r="O6" s="6">
        <f>IF(O2="","",VLOOKUP(O1,نواتج_التعلم[],4,FALSE))</f>
        <v>0.75</v>
      </c>
      <c r="P6" s="6">
        <f>IF(P2="","",VLOOKUP(P1,نواتج_التعلم[],4,FALSE))</f>
        <v>0.75</v>
      </c>
    </row>
    <row r="7" spans="1:24" ht="22.6" customHeight="1">
      <c r="A7" s="123"/>
      <c r="B7" s="130"/>
      <c r="C7" s="131"/>
      <c r="D7" s="7">
        <f t="shared" ref="D7:P7" si="0">IF(OR(D2="",D3=0),"",D19*D6)</f>
        <v>0</v>
      </c>
      <c r="E7" s="7">
        <f t="shared" si="0"/>
        <v>0</v>
      </c>
      <c r="F7" s="7">
        <f t="shared" si="0"/>
        <v>0</v>
      </c>
      <c r="G7" s="7" t="str">
        <f t="shared" si="0"/>
        <v/>
      </c>
      <c r="H7" s="7" t="str">
        <f t="shared" si="0"/>
        <v/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 t="str">
        <f t="shared" si="0"/>
        <v/>
      </c>
      <c r="M7" s="7" t="str">
        <f t="shared" si="0"/>
        <v/>
      </c>
      <c r="N7" s="7" t="str">
        <f t="shared" si="0"/>
        <v/>
      </c>
      <c r="O7" s="7" t="str">
        <f t="shared" si="0"/>
        <v/>
      </c>
      <c r="P7" s="7" t="str">
        <f t="shared" si="0"/>
        <v/>
      </c>
    </row>
    <row r="8" spans="1:24" ht="22.6" customHeight="1">
      <c r="A8" s="123"/>
      <c r="B8" s="134" t="s">
        <v>362</v>
      </c>
      <c r="C8" s="135"/>
      <c r="D8" s="8">
        <f>IFERROR(IF(OR(D2="",D3=0),"",SUM(قياس_النواتج[1.1])/COUNTA('رصد الدرجات'!$C$8:$C$47)),"")</f>
        <v>1.1956521739130399</v>
      </c>
      <c r="E8" s="8">
        <f>IFERROR(IF(OR(E2="",E3=0),"",SUM(قياس_النواتج[1.2])/COUNTA('رصد الدرجات'!$C$8:$C$47)),"")</f>
        <v>21.086956521739101</v>
      </c>
      <c r="F8" s="8">
        <f>IFERROR(IF(OR(F2="",F3=0),"",SUM(قياس_النواتج[1.3])/COUNTA('رصد الدرجات'!$C$8:$C$47)),"")</f>
        <v>5.0217391304347796</v>
      </c>
      <c r="G8" s="8" t="str">
        <f>IFERROR(IF(OR(G2="",G3=0),"",SUM(قياس_النواتج[1.4])/COUNTA('رصد الدرجات'!$C$8:$C$47)),"")</f>
        <v/>
      </c>
      <c r="H8" s="8" t="str">
        <f>IFERROR(IF(OR(H2="",H3=0),"",SUM(قياس_النواتج[1.5])/COUNTA('رصد الدرجات'!$C$8:$C$47)),"")</f>
        <v/>
      </c>
      <c r="I8" s="8">
        <f>IFERROR(IF(OR(I2="",I3=0),"",SUM(قياس_النواتج[2.1])/COUNTA('رصد الدرجات'!$C$8:$C$47)),"")</f>
        <v>1.1304347826087</v>
      </c>
      <c r="J8" s="8">
        <f>IFERROR(IF(OR(J2="",J3=0),"",SUM(قياس_النواتج[2.2])/COUNTA('رصد الدرجات'!$C$8:$C$47)),"")</f>
        <v>11.804347826087</v>
      </c>
      <c r="K8" s="8">
        <f>IFERROR(IF(OR(K2="",K3=0),"",SUM(قياس_النواتج[2.3])/COUNTA('رصد الدرجات'!$C$8:$C$47)),"")</f>
        <v>7.5</v>
      </c>
      <c r="L8" s="8" t="str">
        <f>IFERROR(IF(OR(L2="",L3=0),"",SUM(قياس_النواتج[2.4])/COUNTA('رصد الدرجات'!$C$8:$C$47)),"")</f>
        <v/>
      </c>
      <c r="M8" s="8" t="str">
        <f>IFERROR(IF(OR(M2="",M3=0),"",SUM(قياس_النواتج[2.5])/COUNTA('رصد الدرجات'!$C$8:$C$47)),"")</f>
        <v/>
      </c>
      <c r="N8" s="8" t="str">
        <f>IFERROR(IF(OR(N2="",N3=0),"",SUM(قياس_النواتج[3.1])/COUNTA('رصد الدرجات'!$C$8:$C$47)),"")</f>
        <v/>
      </c>
      <c r="O8" s="8" t="str">
        <f>IFERROR(IF(OR(O2="",O3=0),"",SUM(قياس_النواتج[3.2])/COUNTA('رصد الدرجات'!$C$8:$C$47)),"")</f>
        <v/>
      </c>
      <c r="P8" s="8" t="str">
        <f>IFERROR(IF(OR(P2="",P3=0),"",SUM(قياس_النواتج[3.3])/COUNTA('رصد الدرجات'!$C$8:$C$47)),"")</f>
        <v/>
      </c>
      <c r="Q8" s="26"/>
    </row>
    <row r="9" spans="1:24" ht="22.6" customHeight="1">
      <c r="A9" s="124"/>
      <c r="B9" s="135"/>
      <c r="C9" s="135"/>
      <c r="D9" s="9" t="str">
        <f t="shared" ref="D9:P9" si="1">IFERROR(IF(OR(D2="",D3=0),"",D8/D19),"")</f>
        <v/>
      </c>
      <c r="E9" s="9" t="str">
        <f t="shared" si="1"/>
        <v/>
      </c>
      <c r="F9" s="9" t="str">
        <f t="shared" si="1"/>
        <v/>
      </c>
      <c r="G9" s="9" t="str">
        <f t="shared" si="1"/>
        <v/>
      </c>
      <c r="H9" s="9" t="str">
        <f t="shared" si="1"/>
        <v/>
      </c>
      <c r="I9" s="9" t="str">
        <f t="shared" si="1"/>
        <v/>
      </c>
      <c r="J9" s="9" t="str">
        <f t="shared" si="1"/>
        <v/>
      </c>
      <c r="K9" s="9" t="str">
        <f t="shared" si="1"/>
        <v/>
      </c>
      <c r="L9" s="9" t="str">
        <f t="shared" si="1"/>
        <v/>
      </c>
      <c r="M9" s="9" t="str">
        <f t="shared" si="1"/>
        <v/>
      </c>
      <c r="N9" s="9" t="str">
        <f t="shared" si="1"/>
        <v/>
      </c>
      <c r="O9" s="9" t="str">
        <f t="shared" si="1"/>
        <v/>
      </c>
      <c r="P9" s="9" t="str">
        <f t="shared" si="1"/>
        <v/>
      </c>
    </row>
    <row r="10" spans="1:24" ht="12.05" customHeight="1"/>
    <row r="11" spans="1:24" ht="22.6" customHeight="1">
      <c r="A11" s="125" t="s">
        <v>363</v>
      </c>
      <c r="B11" s="128" t="s">
        <v>264</v>
      </c>
      <c r="C11" s="129"/>
      <c r="D11" s="6">
        <f>IF(D2="","",VLOOKUP(D1,نواتج_التعلم[],3,FALSE))</f>
        <v>0.7</v>
      </c>
      <c r="E11" s="6">
        <f>IF(E2="","",VLOOKUP(E1,نواتج_التعلم[],3,FALSE))</f>
        <v>0.7</v>
      </c>
      <c r="F11" s="6">
        <f>IF(F2="","",VLOOKUP(F1,نواتج_التعلم[],3,FALSE))</f>
        <v>0.7</v>
      </c>
      <c r="G11" s="6" t="str">
        <f>IF(G2="","",VLOOKUP(G1,نواتج_التعلم[],3,FALSE))</f>
        <v/>
      </c>
      <c r="H11" s="6" t="str">
        <f>IF(H2="","",VLOOKUP(H1,نواتج_التعلم[],3,FALSE))</f>
        <v/>
      </c>
      <c r="I11" s="6">
        <f>IF(I2="","",VLOOKUP(I1,نواتج_التعلم[],3,FALSE))</f>
        <v>0.7</v>
      </c>
      <c r="J11" s="6">
        <f>IF(J2="","",VLOOKUP(J1,نواتج_التعلم[],3,FALSE))</f>
        <v>0.7</v>
      </c>
      <c r="K11" s="6">
        <f>IF(K2="","",VLOOKUP(K1,نواتج_التعلم[],3,FALSE))</f>
        <v>0.7</v>
      </c>
      <c r="L11" s="6" t="str">
        <f>IF(L2="","",VLOOKUP(L1,نواتج_التعلم[],3,FALSE))</f>
        <v/>
      </c>
      <c r="M11" s="6" t="str">
        <f>IF(M2="","",VLOOKUP(M1,نواتج_التعلم[],3,FALSE))</f>
        <v/>
      </c>
      <c r="N11" s="6">
        <f>IF(N2="","",VLOOKUP(N1,نواتج_التعلم[],3,FALSE))</f>
        <v>0.7</v>
      </c>
      <c r="O11" s="6">
        <f>IF(O2="","",VLOOKUP(O1,نواتج_التعلم[],3,FALSE))</f>
        <v>0.7</v>
      </c>
      <c r="P11" s="6">
        <f>IF(P2="","",VLOOKUP(P1,نواتج_التعلم[],3,FALSE))</f>
        <v>0.7</v>
      </c>
    </row>
    <row r="12" spans="1:24" ht="22.6" customHeight="1">
      <c r="A12" s="125"/>
      <c r="B12" s="130"/>
      <c r="C12" s="131"/>
      <c r="D12" s="10">
        <f>IF(D2="","",SUM(D13,D15)*D11)</f>
        <v>16.100000000000001</v>
      </c>
      <c r="E12" s="10">
        <f t="shared" ref="E12:P12" si="2">IF(E2="","",SUM(E13,E15)*E11)</f>
        <v>16.100000000000001</v>
      </c>
      <c r="F12" s="10">
        <f t="shared" si="2"/>
        <v>16.100000000000001</v>
      </c>
      <c r="G12" s="10" t="str">
        <f t="shared" si="2"/>
        <v/>
      </c>
      <c r="H12" s="10" t="str">
        <f t="shared" si="2"/>
        <v/>
      </c>
      <c r="I12" s="10">
        <f t="shared" si="2"/>
        <v>16.100000000000001</v>
      </c>
      <c r="J12" s="10">
        <f t="shared" si="2"/>
        <v>16.100000000000001</v>
      </c>
      <c r="K12" s="10">
        <f t="shared" si="2"/>
        <v>16.100000000000001</v>
      </c>
      <c r="L12" s="10" t="str">
        <f t="shared" si="2"/>
        <v/>
      </c>
      <c r="M12" s="10" t="str">
        <f t="shared" si="2"/>
        <v/>
      </c>
      <c r="N12" s="10">
        <f t="shared" si="2"/>
        <v>0</v>
      </c>
      <c r="O12" s="10">
        <f t="shared" si="2"/>
        <v>0</v>
      </c>
      <c r="P12" s="10">
        <f t="shared" si="2"/>
        <v>0</v>
      </c>
      <c r="T12" s="27"/>
    </row>
    <row r="13" spans="1:24" ht="22.6" customHeight="1">
      <c r="A13" s="125"/>
      <c r="B13" s="132" t="s">
        <v>364</v>
      </c>
      <c r="C13" s="132"/>
      <c r="D13" s="11">
        <f>IF(OR(D2="",D3=0),"",COUNTIF(قياس_النواتج[1.1],"&gt;="&amp;D7))</f>
        <v>23</v>
      </c>
      <c r="E13" s="11">
        <f>IF(OR(E2="",E3=0),"",COUNTIF(قياس_النواتج[1.2],"&gt;="&amp;E7))</f>
        <v>23</v>
      </c>
      <c r="F13" s="11">
        <f>IF(OR(F2="",F3=0),"",COUNTIF(قياس_النواتج[1.3],"&gt;="&amp;F7))</f>
        <v>23</v>
      </c>
      <c r="G13" s="11" t="str">
        <f>IF(OR(G2="",G3=0),"",COUNTIF(قياس_النواتج[1.4],"&gt;="&amp;G7))</f>
        <v/>
      </c>
      <c r="H13" s="11" t="str">
        <f>IF(OR(H2="",H3=0),"",COUNTIF(قياس_النواتج[1.5],"&gt;="&amp;H7))</f>
        <v/>
      </c>
      <c r="I13" s="11">
        <f>IF(OR(I2="",I3=0),"",COUNTIF(قياس_النواتج[2.1],"&gt;="&amp;I7))</f>
        <v>23</v>
      </c>
      <c r="J13" s="11">
        <f>IF(OR(J2="",J3=0),"",COUNTIF(قياس_النواتج[2.2],"&gt;="&amp;J7))</f>
        <v>23</v>
      </c>
      <c r="K13" s="11">
        <f>IF(OR(K2="",K3=0),"",COUNTIF(قياس_النواتج[2.3],"&gt;="&amp;K7))</f>
        <v>23</v>
      </c>
      <c r="L13" s="11" t="str">
        <f>IF(OR(L2="",L3=0),"",COUNTIF(قياس_النواتج[2.4],"&gt;="&amp;L7))</f>
        <v/>
      </c>
      <c r="M13" s="11" t="str">
        <f>IF(OR(M2="",M3=0),"",COUNTIF(قياس_النواتج[2.5],"&gt;="&amp;M7))</f>
        <v/>
      </c>
      <c r="N13" s="11" t="str">
        <f>IF(OR(N2="",N3=0),"",COUNTIF(قياس_النواتج[3.1],"&gt;="&amp;N7))</f>
        <v/>
      </c>
      <c r="O13" s="11" t="str">
        <f>IF(OR(O2="",O3=0),"",COUNTIF(قياس_النواتج[3.2],"&gt;="&amp;O7))</f>
        <v/>
      </c>
      <c r="P13" s="11" t="str">
        <f>IF(OR(P2="",P3=0),"",COUNTIF(قياس_النواتج[3.3],"&gt;="&amp;P7))</f>
        <v/>
      </c>
    </row>
    <row r="14" spans="1:24" ht="22.6" customHeight="1">
      <c r="A14" s="125"/>
      <c r="B14" s="132"/>
      <c r="C14" s="132"/>
      <c r="D14" s="12">
        <f t="shared" ref="D14:P14" si="3">IFERROR(IF(OR(D2="",D3=0),"",D13/(SUM(D13,D15))),"")</f>
        <v>1</v>
      </c>
      <c r="E14" s="12">
        <f t="shared" si="3"/>
        <v>1</v>
      </c>
      <c r="F14" s="12">
        <f t="shared" si="3"/>
        <v>1</v>
      </c>
      <c r="G14" s="12" t="str">
        <f t="shared" si="3"/>
        <v/>
      </c>
      <c r="H14" s="12" t="str">
        <f t="shared" si="3"/>
        <v/>
      </c>
      <c r="I14" s="12">
        <f t="shared" si="3"/>
        <v>1</v>
      </c>
      <c r="J14" s="12">
        <f t="shared" si="3"/>
        <v>1</v>
      </c>
      <c r="K14" s="12">
        <f t="shared" si="3"/>
        <v>1</v>
      </c>
      <c r="L14" s="12" t="str">
        <f t="shared" si="3"/>
        <v/>
      </c>
      <c r="M14" s="12" t="str">
        <f t="shared" si="3"/>
        <v/>
      </c>
      <c r="N14" s="12" t="str">
        <f t="shared" si="3"/>
        <v/>
      </c>
      <c r="O14" s="12" t="str">
        <f t="shared" si="3"/>
        <v/>
      </c>
      <c r="P14" s="12" t="str">
        <f t="shared" si="3"/>
        <v/>
      </c>
    </row>
    <row r="15" spans="1:24" ht="22.6" customHeight="1">
      <c r="A15" s="125"/>
      <c r="B15" s="133" t="s">
        <v>365</v>
      </c>
      <c r="C15" s="133"/>
      <c r="D15" s="13">
        <f>IF(OR(D2="",D3=0),"",COUNTIF(قياس_النواتج[1.1],"&lt;"&amp;D7))</f>
        <v>0</v>
      </c>
      <c r="E15" s="13">
        <f>IF(OR(E2="",E3=0),"",COUNTIF(قياس_النواتج[1.2],"&lt;"&amp;E7))</f>
        <v>0</v>
      </c>
      <c r="F15" s="13">
        <f>IF(OR(F2="",F3=0),"",COUNTIF(قياس_النواتج[1.3],"&lt;"&amp;F7))</f>
        <v>0</v>
      </c>
      <c r="G15" s="13" t="str">
        <f>IF(OR(G2="",G3=0),"",COUNTIF(قياس_النواتج[1.4],"&lt;"&amp;G7))</f>
        <v/>
      </c>
      <c r="H15" s="13" t="str">
        <f>IF(OR(H2="",H3=0),"",COUNTIF(قياس_النواتج[1.5],"&lt;"&amp;H7))</f>
        <v/>
      </c>
      <c r="I15" s="13">
        <f>IF(OR(I2="",I3=0),"",COUNTIF(قياس_النواتج[2.1],"&lt;"&amp;I7))</f>
        <v>0</v>
      </c>
      <c r="J15" s="13">
        <f>IF(OR(J2="",J3=0),"",COUNTIF(قياس_النواتج[2.2],"&lt;"&amp;J7))</f>
        <v>0</v>
      </c>
      <c r="K15" s="13">
        <f>IF(OR(K2="",K3=0),"",COUNTIF(قياس_النواتج[2.3],"&lt;"&amp;K7))</f>
        <v>0</v>
      </c>
      <c r="L15" s="13" t="str">
        <f>IF(OR(L2="",L3=0),"",COUNTIF(قياس_النواتج[2.4],"&lt;"&amp;L7))</f>
        <v/>
      </c>
      <c r="M15" s="13" t="str">
        <f>IF(OR(M2="",M3=0),"",COUNTIF(قياس_النواتج[2.5],"&lt;"&amp;M7))</f>
        <v/>
      </c>
      <c r="N15" s="13" t="str">
        <f>IF(OR(N2="",N3=0),"",COUNTIF(قياس_النواتج[3.1],"&lt;"&amp;N7))</f>
        <v/>
      </c>
      <c r="O15" s="13" t="str">
        <f>IF(OR(O2="",O3=0),"",COUNTIF(قياس_النواتج[3.2],"&lt;"&amp;O7))</f>
        <v/>
      </c>
      <c r="P15" s="13" t="str">
        <f>IF(OR(P2="",P3=0),"",COUNTIF(قياس_النواتج[3.3],"&lt;"&amp;P7))</f>
        <v/>
      </c>
    </row>
    <row r="16" spans="1:24" ht="22.6" customHeight="1">
      <c r="A16" s="125"/>
      <c r="B16" s="133"/>
      <c r="C16" s="133"/>
      <c r="D16" s="14">
        <f t="shared" ref="D16:P16" si="4">IFERROR(IF(OR(D2="",D3=0),"",D15/(SUM(D13,D15))),"")</f>
        <v>0</v>
      </c>
      <c r="E16" s="14">
        <f t="shared" si="4"/>
        <v>0</v>
      </c>
      <c r="F16" s="14">
        <f t="shared" si="4"/>
        <v>0</v>
      </c>
      <c r="G16" s="14" t="str">
        <f t="shared" si="4"/>
        <v/>
      </c>
      <c r="H16" s="14" t="str">
        <f t="shared" si="4"/>
        <v/>
      </c>
      <c r="I16" s="14">
        <f t="shared" si="4"/>
        <v>0</v>
      </c>
      <c r="J16" s="14">
        <f t="shared" si="4"/>
        <v>0</v>
      </c>
      <c r="K16" s="14">
        <f t="shared" si="4"/>
        <v>0</v>
      </c>
      <c r="L16" s="14" t="str">
        <f t="shared" si="4"/>
        <v/>
      </c>
      <c r="M16" s="14" t="str">
        <f t="shared" si="4"/>
        <v/>
      </c>
      <c r="N16" s="14" t="str">
        <f t="shared" si="4"/>
        <v/>
      </c>
      <c r="O16" s="14" t="str">
        <f t="shared" si="4"/>
        <v/>
      </c>
      <c r="P16" s="14" t="str">
        <f t="shared" si="4"/>
        <v/>
      </c>
    </row>
    <row r="17" spans="1:18" ht="12.05" customHeight="1"/>
    <row r="18" spans="1:18" ht="22.6" customHeight="1">
      <c r="A18" s="103" t="s">
        <v>299</v>
      </c>
      <c r="B18" s="103" t="s">
        <v>300</v>
      </c>
      <c r="C18" s="103" t="str">
        <f>"الاسم"&amp;" ("&amp;COUNTA(جدول_الرصد[الاسم])&amp;")"</f>
        <v>الاسم (23)</v>
      </c>
      <c r="D18" s="15">
        <v>1.1000000000000001</v>
      </c>
      <c r="E18" s="15">
        <v>1.2</v>
      </c>
      <c r="F18" s="16">
        <v>1.3</v>
      </c>
      <c r="G18" s="16">
        <v>1.4</v>
      </c>
      <c r="H18" s="16">
        <v>1.5</v>
      </c>
      <c r="I18" s="16">
        <v>2.1</v>
      </c>
      <c r="J18" s="16">
        <v>2.2000000000000002</v>
      </c>
      <c r="K18" s="16">
        <v>2.2999999999999998</v>
      </c>
      <c r="L18" s="16">
        <v>2.4</v>
      </c>
      <c r="M18" s="16">
        <v>2.5</v>
      </c>
      <c r="N18" s="16">
        <v>3.1</v>
      </c>
      <c r="O18" s="16">
        <v>3.2</v>
      </c>
      <c r="P18" s="16">
        <v>3.3</v>
      </c>
      <c r="Q18" s="28" t="s">
        <v>269</v>
      </c>
      <c r="R18" s="126" t="s">
        <v>366</v>
      </c>
    </row>
    <row r="19" spans="1:18" ht="22.6" customHeight="1">
      <c r="A19" s="103"/>
      <c r="B19" s="103"/>
      <c r="C19" s="103"/>
      <c r="D19" s="17">
        <f>IF(D2="","",SUMIF('رصد الدرجات'!$3:$3,D$1,'رصد الدرجات'!$4:$4))</f>
        <v>0</v>
      </c>
      <c r="E19" s="17">
        <f>IF(E2="","",SUMIF('رصد الدرجات'!$3:$3,E$1,'رصد الدرجات'!$4:$4))</f>
        <v>0</v>
      </c>
      <c r="F19" s="17">
        <f>IF(F2="","",SUMIF('رصد الدرجات'!$3:$3,F$1,'رصد الدرجات'!$4:$4))</f>
        <v>0</v>
      </c>
      <c r="G19" s="17" t="str">
        <f>IF(G2="","",SUMIF('رصد الدرجات'!$3:$3,G$1,'رصد الدرجات'!$4:$4))</f>
        <v/>
      </c>
      <c r="H19" s="17" t="str">
        <f>IF(H2="","",SUMIF('رصد الدرجات'!$3:$3,H$1,'رصد الدرجات'!$4:$4))</f>
        <v/>
      </c>
      <c r="I19" s="17">
        <f>IF(I2="","",SUMIF('رصد الدرجات'!$3:$3,I$1,'رصد الدرجات'!$4:$4))</f>
        <v>0</v>
      </c>
      <c r="J19" s="17">
        <f>IF(J2="","",SUMIF('رصد الدرجات'!$3:$3,J$1,'رصد الدرجات'!$4:$4))</f>
        <v>0</v>
      </c>
      <c r="K19" s="17">
        <f>IF(K2="","",SUMIF('رصد الدرجات'!$3:$3,K$1,'رصد الدرجات'!$4:$4))</f>
        <v>0</v>
      </c>
      <c r="L19" s="17" t="str">
        <f>IF(L2="","",SUMIF('رصد الدرجات'!$3:$3,L$1,'رصد الدرجات'!$4:$4))</f>
        <v/>
      </c>
      <c r="M19" s="17" t="str">
        <f>IF(M2="","",SUMIF('رصد الدرجات'!$3:$3,M$1,'رصد الدرجات'!$4:$4))</f>
        <v/>
      </c>
      <c r="N19" s="17">
        <f>IF(N2="","",SUMIF('رصد الدرجات'!$3:$3,N$1,'رصد الدرجات'!$4:$4))</f>
        <v>0</v>
      </c>
      <c r="O19" s="17">
        <f>IF(O2="","",SUMIF('رصد الدرجات'!$3:$3,O$1,'رصد الدرجات'!$4:$4))</f>
        <v>0</v>
      </c>
      <c r="P19" s="17">
        <f>IF(P2="","",SUMIF('رصد الدرجات'!$3:$3,P$1,'رصد الدرجات'!$4:$4))</f>
        <v>0</v>
      </c>
      <c r="Q19" s="29">
        <f>SUM(D19:P19)</f>
        <v>0</v>
      </c>
      <c r="R19" s="127"/>
    </row>
    <row r="20" spans="1:18" ht="22.6" hidden="1" customHeight="1">
      <c r="A20" s="18" t="s">
        <v>299</v>
      </c>
      <c r="B20" s="19" t="s">
        <v>300</v>
      </c>
      <c r="C20" s="20" t="s">
        <v>367</v>
      </c>
      <c r="D20" s="21" t="s">
        <v>368</v>
      </c>
      <c r="E20" s="21" t="s">
        <v>369</v>
      </c>
      <c r="F20" s="22" t="s">
        <v>370</v>
      </c>
      <c r="G20" s="22" t="s">
        <v>371</v>
      </c>
      <c r="H20" s="22" t="s">
        <v>372</v>
      </c>
      <c r="I20" s="22" t="s">
        <v>373</v>
      </c>
      <c r="J20" s="22" t="s">
        <v>374</v>
      </c>
      <c r="K20" s="22" t="s">
        <v>375</v>
      </c>
      <c r="L20" s="22" t="s">
        <v>376</v>
      </c>
      <c r="M20" s="22" t="s">
        <v>377</v>
      </c>
      <c r="N20" s="22" t="s">
        <v>378</v>
      </c>
      <c r="O20" s="22" t="s">
        <v>379</v>
      </c>
      <c r="P20" s="22" t="s">
        <v>380</v>
      </c>
      <c r="Q20" s="30" t="s">
        <v>302</v>
      </c>
      <c r="R20" s="31" t="s">
        <v>366</v>
      </c>
    </row>
    <row r="21" spans="1:18" ht="22.6" customHeight="1">
      <c r="A21" s="23">
        <f>'رصد الدرجات'!A8</f>
        <v>1</v>
      </c>
      <c r="B21" s="23" t="str">
        <f>IF('رصد الدرجات'!B8="","",'رصد الدرجات'!B8)</f>
        <v/>
      </c>
      <c r="C21" s="23" t="str">
        <f>IF('رصد الدرجات'!C8="","",'رصد الدرجات'!C8)</f>
        <v>عزيز أنصاري</v>
      </c>
      <c r="D21" s="23">
        <f>IF(D$2="","",IF($C21="","",SUMIF('رصد الدرجات'!$3:$3,D$1,'رصد الدرجات'!8:8)))</f>
        <v>2</v>
      </c>
      <c r="E21" s="23">
        <f>IF(E$2="","",IF($C21="","",SUMIF('رصد الدرجات'!$3:$3,E$1,'رصد الدرجات'!8:8)))</f>
        <v>39</v>
      </c>
      <c r="F21" s="23">
        <f>IF(F$2="","",IF($C21="","",SUMIF('رصد الدرجات'!$3:$3,F$1,'رصد الدرجات'!8:8)))</f>
        <v>9</v>
      </c>
      <c r="G21" s="23" t="str">
        <f>IF(G$2="","",IF($C21="","",SUMIF('رصد الدرجات'!$3:$3,G$1,'رصد الدرجات'!8:8)))</f>
        <v/>
      </c>
      <c r="H21" s="23" t="str">
        <f>IF(H$2="","",IF($C21="","",SUMIF('رصد الدرجات'!$3:$3,H$1,'رصد الدرجات'!8:8)))</f>
        <v/>
      </c>
      <c r="I21" s="23">
        <f>IF(I$2="","",IF($C21="","",SUMIF('رصد الدرجات'!$3:$3,I$1,'رصد الدرجات'!8:8)))</f>
        <v>2</v>
      </c>
      <c r="J21" s="23">
        <f>IF(J$2="","",IF($C21="","",SUMIF('رصد الدرجات'!$3:$3,J$1,'رصد الدرجات'!8:8)))</f>
        <v>23</v>
      </c>
      <c r="K21" s="23">
        <f>IF(K$2="","",IF($C21="","",SUMIF('رصد الدرجات'!$3:$3,K$1,'رصد الدرجات'!8:8)))</f>
        <v>13</v>
      </c>
      <c r="L21" s="23" t="str">
        <f>IF(L$2="","",IF($C21="","",SUMIF('رصد الدرجات'!$3:$3,L$1,'رصد الدرجات'!8:8)))</f>
        <v/>
      </c>
      <c r="M21" s="23" t="str">
        <f>IF(M$2="","",IF($C21="","",SUMIF('رصد الدرجات'!$3:$3,M$1,'رصد الدرجات'!8:8)))</f>
        <v/>
      </c>
      <c r="N21" s="23">
        <f>IF(N$2="","",IF($C21="","",SUMIF('رصد الدرجات'!$3:$3,N$1,'رصد الدرجات'!8:8)))</f>
        <v>0</v>
      </c>
      <c r="O21" s="23">
        <f>IF(O$2="","",IF($C21="","",SUMIF('رصد الدرجات'!$3:$3,O$1,'رصد الدرجات'!8:8)))</f>
        <v>0</v>
      </c>
      <c r="P21" s="23">
        <f>IF(P$2="","",IF($C21="","",SUMIF('رصد الدرجات'!$3:$3,P$1,'رصد الدرجات'!8:8)))</f>
        <v>0</v>
      </c>
      <c r="Q21" s="32">
        <f t="shared" ref="Q21:Q52" si="5">IF($C21="","",SUM(D21:P21))</f>
        <v>88</v>
      </c>
      <c r="R21" s="33" t="str">
        <f t="shared" ref="R21:R52" si="6">IF(C21="","",IF(Q21&gt;100,"خطأ",IF(Q21&gt;=95,"أ+",IF(Q21&gt;=90,"أ",IF(Q21&gt;=85,"ب+",IF(Q21&gt;=80,"ب",IF(Q21&gt;=75,"ج+",IF(Q21&gt;=70,"ج",IF(Q21&gt;=65,"د+",IF(Q21&gt;=60,"د",IF(Q21&gt;=0,"ه","")))))))))))</f>
        <v>ب+</v>
      </c>
    </row>
    <row r="22" spans="1:18" ht="22.6" customHeight="1">
      <c r="A22" s="23">
        <f>'رصد الدرجات'!A9</f>
        <v>2</v>
      </c>
      <c r="B22" s="23" t="str">
        <f>IF('رصد الدرجات'!B9="","",'رصد الدرجات'!B9)</f>
        <v/>
      </c>
      <c r="C22" s="23" t="str">
        <f>IF('رصد الدرجات'!C9="","",'رصد الدرجات'!C9)</f>
        <v>أكبر علمشاح</v>
      </c>
      <c r="D22" s="23">
        <f>IF(D$2="","",IF($C22="","",SUMIF('رصد الدرجات'!$3:$3,D$1,'رصد الدرجات'!9:9)))</f>
        <v>2</v>
      </c>
      <c r="E22" s="23">
        <f>IF(E$2="","",IF($C22="","",SUMIF('رصد الدرجات'!$3:$3,E$1,'رصد الدرجات'!9:9)))</f>
        <v>40</v>
      </c>
      <c r="F22" s="23">
        <f>IF(F$2="","",IF($C22="","",SUMIF('رصد الدرجات'!$3:$3,F$1,'رصد الدرجات'!9:9)))</f>
        <v>9</v>
      </c>
      <c r="G22" s="23" t="str">
        <f>IF(G$2="","",IF($C22="","",SUMIF('رصد الدرجات'!$3:$3,G$1,'رصد الدرجات'!9:9)))</f>
        <v/>
      </c>
      <c r="H22" s="23" t="str">
        <f>IF(H$2="","",IF($C22="","",SUMIF('رصد الدرجات'!$3:$3,H$1,'رصد الدرجات'!9:9)))</f>
        <v/>
      </c>
      <c r="I22" s="23">
        <f>IF(I$2="","",IF($C22="","",SUMIF('رصد الدرجات'!$3:$3,I$1,'رصد الدرجات'!9:9)))</f>
        <v>2</v>
      </c>
      <c r="J22" s="23">
        <f>IF(J$2="","",IF($C22="","",SUMIF('رصد الدرجات'!$3:$3,J$1,'رصد الدرجات'!9:9)))</f>
        <v>20</v>
      </c>
      <c r="K22" s="23">
        <f>IF(K$2="","",IF($C22="","",SUMIF('رصد الدرجات'!$3:$3,K$1,'رصد الدرجات'!9:9)))</f>
        <v>19</v>
      </c>
      <c r="L22" s="23" t="str">
        <f>IF(L$2="","",IF($C22="","",SUMIF('رصد الدرجات'!$3:$3,L$1,'رصد الدرجات'!9:9)))</f>
        <v/>
      </c>
      <c r="M22" s="23" t="str">
        <f>IF(M$2="","",IF($C22="","",SUMIF('رصد الدرجات'!$3:$3,M$1,'رصد الدرجات'!9:9)))</f>
        <v/>
      </c>
      <c r="N22" s="23">
        <f>IF(N$2="","",IF($C22="","",SUMIF('رصد الدرجات'!$3:$3,N$1,'رصد الدرجات'!9:9)))</f>
        <v>0</v>
      </c>
      <c r="O22" s="23">
        <f>IF(O$2="","",IF($C22="","",SUMIF('رصد الدرجات'!$3:$3,O$1,'رصد الدرجات'!9:9)))</f>
        <v>0</v>
      </c>
      <c r="P22" s="23">
        <f>IF(P$2="","",IF($C22="","",SUMIF('رصد الدرجات'!$3:$3,P$1,'رصد الدرجات'!9:9)))</f>
        <v>0</v>
      </c>
      <c r="Q22" s="32">
        <f t="shared" si="5"/>
        <v>92</v>
      </c>
      <c r="R22" s="33" t="str">
        <f t="shared" si="6"/>
        <v>أ</v>
      </c>
    </row>
    <row r="23" spans="1:18" ht="22.6" customHeight="1">
      <c r="A23" s="23">
        <f>'رصد الدرجات'!A10</f>
        <v>3</v>
      </c>
      <c r="B23" s="23" t="str">
        <f>IF('رصد الدرجات'!B10="","",'رصد الدرجات'!B10)</f>
        <v/>
      </c>
      <c r="C23" s="23" t="str">
        <f>IF('رصد الدرجات'!C10="","",'رصد الدرجات'!C10)</f>
        <v>محمد فائز الرشيد</v>
      </c>
      <c r="D23" s="23">
        <f>IF(D$2="","",IF($C23="","",SUMIF('رصد الدرجات'!$3:$3,D$1,'رصد الدرجات'!10:10)))</f>
        <v>3</v>
      </c>
      <c r="E23" s="23">
        <f>IF(E$2="","",IF($C23="","",SUMIF('رصد الدرجات'!$3:$3,E$1,'رصد الدرجات'!10:10)))</f>
        <v>37</v>
      </c>
      <c r="F23" s="23">
        <f>IF(F$2="","",IF($C23="","",SUMIF('رصد الدرجات'!$3:$3,F$1,'رصد الدرجات'!10:10)))</f>
        <v>10</v>
      </c>
      <c r="G23" s="23" t="str">
        <f>IF(G$2="","",IF($C23="","",SUMIF('رصد الدرجات'!$3:$3,G$1,'رصد الدرجات'!10:10)))</f>
        <v/>
      </c>
      <c r="H23" s="23" t="str">
        <f>IF(H$2="","",IF($C23="","",SUMIF('رصد الدرجات'!$3:$3,H$1,'رصد الدرجات'!10:10)))</f>
        <v/>
      </c>
      <c r="I23" s="23">
        <f>IF(I$2="","",IF($C23="","",SUMIF('رصد الدرجات'!$3:$3,I$1,'رصد الدرجات'!10:10)))</f>
        <v>2</v>
      </c>
      <c r="J23" s="23">
        <f>IF(J$2="","",IF($C23="","",SUMIF('رصد الدرجات'!$3:$3,J$1,'رصد الدرجات'!10:10)))</f>
        <v>23</v>
      </c>
      <c r="K23" s="23">
        <f>IF(K$2="","",IF($C23="","",SUMIF('رصد الدرجات'!$3:$3,K$1,'رصد الدرجات'!10:10)))</f>
        <v>10</v>
      </c>
      <c r="L23" s="23" t="str">
        <f>IF(L$2="","",IF($C23="","",SUMIF('رصد الدرجات'!$3:$3,L$1,'رصد الدرجات'!10:10)))</f>
        <v/>
      </c>
      <c r="M23" s="23" t="str">
        <f>IF(M$2="","",IF($C23="","",SUMIF('رصد الدرجات'!$3:$3,M$1,'رصد الدرجات'!10:10)))</f>
        <v/>
      </c>
      <c r="N23" s="23">
        <f>IF(N$2="","",IF($C23="","",SUMIF('رصد الدرجات'!$3:$3,N$1,'رصد الدرجات'!10:10)))</f>
        <v>0</v>
      </c>
      <c r="O23" s="23">
        <f>IF(O$2="","",IF($C23="","",SUMIF('رصد الدرجات'!$3:$3,O$1,'رصد الدرجات'!10:10)))</f>
        <v>0</v>
      </c>
      <c r="P23" s="23">
        <f>IF(P$2="","",IF($C23="","",SUMIF('رصد الدرجات'!$3:$3,P$1,'رصد الدرجات'!10:10)))</f>
        <v>0</v>
      </c>
      <c r="Q23" s="32">
        <f t="shared" si="5"/>
        <v>85</v>
      </c>
      <c r="R23" s="33" t="str">
        <f t="shared" si="6"/>
        <v>ب+</v>
      </c>
    </row>
    <row r="24" spans="1:18" ht="22.6" customHeight="1">
      <c r="A24" s="23">
        <f>'رصد الدرجات'!A11</f>
        <v>4</v>
      </c>
      <c r="B24" s="23" t="str">
        <f>IF('رصد الدرجات'!B11="","",'رصد الدرجات'!B11)</f>
        <v/>
      </c>
      <c r="C24" s="23" t="str">
        <f>IF('رصد الدرجات'!C11="","",'رصد الدرجات'!C11)</f>
        <v>محمد فتحون مذكر</v>
      </c>
      <c r="D24" s="23">
        <f>IF(D$2="","",IF($C24="","",SUMIF('رصد الدرجات'!$3:$3,D$1,'رصد الدرجات'!11:11)))</f>
        <v>3</v>
      </c>
      <c r="E24" s="23">
        <f>IF(E$2="","",IF($C24="","",SUMIF('رصد الدرجات'!$3:$3,E$1,'رصد الدرجات'!11:11)))</f>
        <v>41</v>
      </c>
      <c r="F24" s="23">
        <f>IF(F$2="","",IF($C24="","",SUMIF('رصد الدرجات'!$3:$3,F$1,'رصد الدرجات'!11:11)))</f>
        <v>10</v>
      </c>
      <c r="G24" s="23" t="str">
        <f>IF(G$2="","",IF($C24="","",SUMIF('رصد الدرجات'!$3:$3,G$1,'رصد الدرجات'!11:11)))</f>
        <v/>
      </c>
      <c r="H24" s="23" t="str">
        <f>IF(H$2="","",IF($C24="","",SUMIF('رصد الدرجات'!$3:$3,H$1,'رصد الدرجات'!11:11)))</f>
        <v/>
      </c>
      <c r="I24" s="23">
        <f>IF(I$2="","",IF($C24="","",SUMIF('رصد الدرجات'!$3:$3,I$1,'رصد الدرجات'!11:11)))</f>
        <v>2</v>
      </c>
      <c r="J24" s="23">
        <f>IF(J$2="","",IF($C24="","",SUMIF('رصد الدرجات'!$3:$3,J$1,'رصد الدرجات'!11:11)))</f>
        <v>24</v>
      </c>
      <c r="K24" s="23">
        <f>IF(K$2="","",IF($C24="","",SUMIF('رصد الدرجات'!$3:$3,K$1,'رصد الدرجات'!11:11)))</f>
        <v>13</v>
      </c>
      <c r="L24" s="23" t="str">
        <f>IF(L$2="","",IF($C24="","",SUMIF('رصد الدرجات'!$3:$3,L$1,'رصد الدرجات'!11:11)))</f>
        <v/>
      </c>
      <c r="M24" s="23" t="str">
        <f>IF(M$2="","",IF($C24="","",SUMIF('رصد الدرجات'!$3:$3,M$1,'رصد الدرجات'!11:11)))</f>
        <v/>
      </c>
      <c r="N24" s="23">
        <f>IF(N$2="","",IF($C24="","",SUMIF('رصد الدرجات'!$3:$3,N$1,'رصد الدرجات'!11:11)))</f>
        <v>0</v>
      </c>
      <c r="O24" s="23">
        <f>IF(O$2="","",IF($C24="","",SUMIF('رصد الدرجات'!$3:$3,O$1,'رصد الدرجات'!11:11)))</f>
        <v>0</v>
      </c>
      <c r="P24" s="23">
        <f>IF(P$2="","",IF($C24="","",SUMIF('رصد الدرجات'!$3:$3,P$1,'رصد الدرجات'!11:11)))</f>
        <v>0</v>
      </c>
      <c r="Q24" s="32">
        <f t="shared" si="5"/>
        <v>93</v>
      </c>
      <c r="R24" s="33" t="str">
        <f t="shared" si="6"/>
        <v>أ</v>
      </c>
    </row>
    <row r="25" spans="1:18" ht="22.6" customHeight="1">
      <c r="A25" s="23">
        <f>'رصد الدرجات'!A12</f>
        <v>5</v>
      </c>
      <c r="B25" s="23" t="str">
        <f>IF('رصد الدرجات'!B12="","",'رصد الدرجات'!B12)</f>
        <v/>
      </c>
      <c r="C25" s="23" t="str">
        <f>IF('رصد الدرجات'!C12="","",'رصد الدرجات'!C12)</f>
        <v>إبراهيم باه</v>
      </c>
      <c r="D25" s="23">
        <f>IF(D$2="","",IF($C25="","",SUMIF('رصد الدرجات'!$3:$3,D$1,'رصد الدرجات'!12:12)))</f>
        <v>2</v>
      </c>
      <c r="E25" s="23">
        <f>IF(E$2="","",IF($C25="","",SUMIF('رصد الدرجات'!$3:$3,E$1,'رصد الدرجات'!12:12)))</f>
        <v>44</v>
      </c>
      <c r="F25" s="23">
        <f>IF(F$2="","",IF($C25="","",SUMIF('رصد الدرجات'!$3:$3,F$1,'رصد الدرجات'!12:12)))</f>
        <v>9</v>
      </c>
      <c r="G25" s="23" t="str">
        <f>IF(G$2="","",IF($C25="","",SUMIF('رصد الدرجات'!$3:$3,G$1,'رصد الدرجات'!12:12)))</f>
        <v/>
      </c>
      <c r="H25" s="23" t="str">
        <f>IF(H$2="","",IF($C25="","",SUMIF('رصد الدرجات'!$3:$3,H$1,'رصد الدرجات'!12:12)))</f>
        <v/>
      </c>
      <c r="I25" s="23">
        <f>IF(I$2="","",IF($C25="","",SUMIF('رصد الدرجات'!$3:$3,I$1,'رصد الدرجات'!12:12)))</f>
        <v>3</v>
      </c>
      <c r="J25" s="23">
        <f>IF(J$2="","",IF($C25="","",SUMIF('رصد الدرجات'!$3:$3,J$1,'رصد الدرجات'!12:12)))</f>
        <v>24</v>
      </c>
      <c r="K25" s="23">
        <f>IF(K$2="","",IF($C25="","",SUMIF('رصد الدرجات'!$3:$3,K$1,'رصد الدرجات'!12:12)))</f>
        <v>14</v>
      </c>
      <c r="L25" s="23" t="str">
        <f>IF(L$2="","",IF($C25="","",SUMIF('رصد الدرجات'!$3:$3,L$1,'رصد الدرجات'!12:12)))</f>
        <v/>
      </c>
      <c r="M25" s="23" t="str">
        <f>IF(M$2="","",IF($C25="","",SUMIF('رصد الدرجات'!$3:$3,M$1,'رصد الدرجات'!12:12)))</f>
        <v/>
      </c>
      <c r="N25" s="23">
        <f>IF(N$2="","",IF($C25="","",SUMIF('رصد الدرجات'!$3:$3,N$1,'رصد الدرجات'!12:12)))</f>
        <v>0</v>
      </c>
      <c r="O25" s="23">
        <f>IF(O$2="","",IF($C25="","",SUMIF('رصد الدرجات'!$3:$3,O$1,'رصد الدرجات'!12:12)))</f>
        <v>0</v>
      </c>
      <c r="P25" s="23">
        <f>IF(P$2="","",IF($C25="","",SUMIF('رصد الدرجات'!$3:$3,P$1,'رصد الدرجات'!12:12)))</f>
        <v>0</v>
      </c>
      <c r="Q25" s="32">
        <f t="shared" si="5"/>
        <v>96</v>
      </c>
      <c r="R25" s="33" t="str">
        <f t="shared" si="6"/>
        <v>أ+</v>
      </c>
    </row>
    <row r="26" spans="1:18" ht="22.6" customHeight="1">
      <c r="A26" s="23">
        <f>'رصد الدرجات'!A13</f>
        <v>6</v>
      </c>
      <c r="B26" s="23" t="str">
        <f>IF('رصد الدرجات'!B13="","",'رصد الدرجات'!B13)</f>
        <v/>
      </c>
      <c r="C26" s="23" t="str">
        <f>IF('رصد الدرجات'!C13="","",'رصد الدرجات'!C13)</f>
        <v>عبداللطيف محمد أمين</v>
      </c>
      <c r="D26" s="23">
        <f>IF(D$2="","",IF($C26="","",SUMIF('رصد الدرجات'!$3:$3,D$1,'رصد الدرجات'!13:13)))</f>
        <v>1.5</v>
      </c>
      <c r="E26" s="23">
        <f>IF(E$2="","",IF($C26="","",SUMIF('رصد الدرجات'!$3:$3,E$1,'رصد الدرجات'!13:13)))</f>
        <v>44.5</v>
      </c>
      <c r="F26" s="23">
        <f>IF(F$2="","",IF($C26="","",SUMIF('رصد الدرجات'!$3:$3,F$1,'رصد الدرجات'!13:13)))</f>
        <v>10</v>
      </c>
      <c r="G26" s="23" t="str">
        <f>IF(G$2="","",IF($C26="","",SUMIF('رصد الدرجات'!$3:$3,G$1,'رصد الدرجات'!13:13)))</f>
        <v/>
      </c>
      <c r="H26" s="23" t="str">
        <f>IF(H$2="","",IF($C26="","",SUMIF('رصد الدرجات'!$3:$3,H$1,'رصد الدرجات'!13:13)))</f>
        <v/>
      </c>
      <c r="I26" s="23">
        <f>IF(I$2="","",IF($C26="","",SUMIF('رصد الدرجات'!$3:$3,I$1,'رصد الدرجات'!13:13)))</f>
        <v>2</v>
      </c>
      <c r="J26" s="23">
        <f>IF(J$2="","",IF($C26="","",SUMIF('رصد الدرجات'!$3:$3,J$1,'رصد الدرجات'!13:13)))</f>
        <v>23</v>
      </c>
      <c r="K26" s="23">
        <f>IF(K$2="","",IF($C26="","",SUMIF('رصد الدرجات'!$3:$3,K$1,'رصد الدرجات'!13:13)))</f>
        <v>16</v>
      </c>
      <c r="L26" s="23" t="str">
        <f>IF(L$2="","",IF($C26="","",SUMIF('رصد الدرجات'!$3:$3,L$1,'رصد الدرجات'!13:13)))</f>
        <v/>
      </c>
      <c r="M26" s="23" t="str">
        <f>IF(M$2="","",IF($C26="","",SUMIF('رصد الدرجات'!$3:$3,M$1,'رصد الدرجات'!13:13)))</f>
        <v/>
      </c>
      <c r="N26" s="23">
        <f>IF(N$2="","",IF($C26="","",SUMIF('رصد الدرجات'!$3:$3,N$1,'رصد الدرجات'!13:13)))</f>
        <v>0</v>
      </c>
      <c r="O26" s="23">
        <f>IF(O$2="","",IF($C26="","",SUMIF('رصد الدرجات'!$3:$3,O$1,'رصد الدرجات'!13:13)))</f>
        <v>0</v>
      </c>
      <c r="P26" s="23">
        <f>IF(P$2="","",IF($C26="","",SUMIF('رصد الدرجات'!$3:$3,P$1,'رصد الدرجات'!13:13)))</f>
        <v>0</v>
      </c>
      <c r="Q26" s="32">
        <f t="shared" si="5"/>
        <v>97</v>
      </c>
      <c r="R26" s="33" t="str">
        <f t="shared" si="6"/>
        <v>أ+</v>
      </c>
    </row>
    <row r="27" spans="1:18" ht="22.6" customHeight="1">
      <c r="A27" s="23">
        <f>'رصد الدرجات'!A14</f>
        <v>7</v>
      </c>
      <c r="B27" s="23" t="str">
        <f>IF('رصد الدرجات'!B14="","",'رصد الدرجات'!B14)</f>
        <v/>
      </c>
      <c r="C27" s="23" t="str">
        <f>IF('رصد الدرجات'!C14="","",'رصد الدرجات'!C14)</f>
        <v>خالد الحربي</v>
      </c>
      <c r="D27" s="23">
        <f>IF(D$2="","",IF($C27="","",SUMIF('رصد الدرجات'!$3:$3,D$1,'رصد الدرجات'!14:14)))</f>
        <v>2</v>
      </c>
      <c r="E27" s="23">
        <f>IF(E$2="","",IF($C27="","",SUMIF('رصد الدرجات'!$3:$3,E$1,'رصد الدرجات'!14:14)))</f>
        <v>44</v>
      </c>
      <c r="F27" s="23">
        <f>IF(F$2="","",IF($C27="","",SUMIF('رصد الدرجات'!$3:$3,F$1,'رصد الدرجات'!14:14)))</f>
        <v>10</v>
      </c>
      <c r="G27" s="23" t="str">
        <f>IF(G$2="","",IF($C27="","",SUMIF('رصد الدرجات'!$3:$3,G$1,'رصد الدرجات'!14:14)))</f>
        <v/>
      </c>
      <c r="H27" s="23" t="str">
        <f>IF(H$2="","",IF($C27="","",SUMIF('رصد الدرجات'!$3:$3,H$1,'رصد الدرجات'!14:14)))</f>
        <v/>
      </c>
      <c r="I27" s="23">
        <f>IF(I$2="","",IF($C27="","",SUMIF('رصد الدرجات'!$3:$3,I$1,'رصد الدرجات'!14:14)))</f>
        <v>2</v>
      </c>
      <c r="J27" s="23">
        <f>IF(J$2="","",IF($C27="","",SUMIF('رصد الدرجات'!$3:$3,J$1,'رصد الدرجات'!14:14)))</f>
        <v>24</v>
      </c>
      <c r="K27" s="23">
        <f>IF(K$2="","",IF($C27="","",SUMIF('رصد الدرجات'!$3:$3,K$1,'رصد الدرجات'!14:14)))</f>
        <v>15</v>
      </c>
      <c r="L27" s="23" t="str">
        <f>IF(L$2="","",IF($C27="","",SUMIF('رصد الدرجات'!$3:$3,L$1,'رصد الدرجات'!14:14)))</f>
        <v/>
      </c>
      <c r="M27" s="23" t="str">
        <f>IF(M$2="","",IF($C27="","",SUMIF('رصد الدرجات'!$3:$3,M$1,'رصد الدرجات'!14:14)))</f>
        <v/>
      </c>
      <c r="N27" s="23">
        <f>IF(N$2="","",IF($C27="","",SUMIF('رصد الدرجات'!$3:$3,N$1,'رصد الدرجات'!14:14)))</f>
        <v>0</v>
      </c>
      <c r="O27" s="23">
        <f>IF(O$2="","",IF($C27="","",SUMIF('رصد الدرجات'!$3:$3,O$1,'رصد الدرجات'!14:14)))</f>
        <v>0</v>
      </c>
      <c r="P27" s="23">
        <f>IF(P$2="","",IF($C27="","",SUMIF('رصد الدرجات'!$3:$3,P$1,'رصد الدرجات'!14:14)))</f>
        <v>0</v>
      </c>
      <c r="Q27" s="32">
        <f t="shared" si="5"/>
        <v>97</v>
      </c>
      <c r="R27" s="33" t="str">
        <f t="shared" si="6"/>
        <v>أ+</v>
      </c>
    </row>
    <row r="28" spans="1:18" ht="22.6" customHeight="1">
      <c r="A28" s="23">
        <f>'رصد الدرجات'!A15</f>
        <v>8</v>
      </c>
      <c r="B28" s="23" t="str">
        <f>IF('رصد الدرجات'!B15="","",'رصد الدرجات'!B15)</f>
        <v/>
      </c>
      <c r="C28" s="23" t="str">
        <f>IF('رصد الدرجات'!C15="","",'رصد الدرجات'!C15)</f>
        <v>عبد الحكيم عبد الرحمن</v>
      </c>
      <c r="D28" s="23">
        <f>IF(D$2="","",IF($C28="","",SUMIF('رصد الدرجات'!$3:$3,D$1,'رصد الدرجات'!15:15)))</f>
        <v>2.5</v>
      </c>
      <c r="E28" s="23">
        <f>IF(E$2="","",IF($C28="","",SUMIF('رصد الدرجات'!$3:$3,E$1,'رصد الدرجات'!15:15)))</f>
        <v>43.5</v>
      </c>
      <c r="F28" s="23">
        <f>IF(F$2="","",IF($C28="","",SUMIF('رصد الدرجات'!$3:$3,F$1,'رصد الدرجات'!15:15)))</f>
        <v>11</v>
      </c>
      <c r="G28" s="23" t="str">
        <f>IF(G$2="","",IF($C28="","",SUMIF('رصد الدرجات'!$3:$3,G$1,'رصد الدرجات'!15:15)))</f>
        <v/>
      </c>
      <c r="H28" s="23" t="str">
        <f>IF(H$2="","",IF($C28="","",SUMIF('رصد الدرجات'!$3:$3,H$1,'رصد الدرجات'!15:15)))</f>
        <v/>
      </c>
      <c r="I28" s="23">
        <f>IF(I$2="","",IF($C28="","",SUMIF('رصد الدرجات'!$3:$3,I$1,'رصد الدرجات'!15:15)))</f>
        <v>2</v>
      </c>
      <c r="J28" s="23">
        <f>IF(J$2="","",IF($C28="","",SUMIF('رصد الدرجات'!$3:$3,J$1,'رصد الدرجات'!15:15)))</f>
        <v>23.5</v>
      </c>
      <c r="K28" s="23">
        <f>IF(K$2="","",IF($C28="","",SUMIF('رصد الدرجات'!$3:$3,K$1,'رصد الدرجات'!15:15)))</f>
        <v>15.5</v>
      </c>
      <c r="L28" s="23" t="str">
        <f>IF(L$2="","",IF($C28="","",SUMIF('رصد الدرجات'!$3:$3,L$1,'رصد الدرجات'!15:15)))</f>
        <v/>
      </c>
      <c r="M28" s="23" t="str">
        <f>IF(M$2="","",IF($C28="","",SUMIF('رصد الدرجات'!$3:$3,M$1,'رصد الدرجات'!15:15)))</f>
        <v/>
      </c>
      <c r="N28" s="23">
        <f>IF(N$2="","",IF($C28="","",SUMIF('رصد الدرجات'!$3:$3,N$1,'رصد الدرجات'!15:15)))</f>
        <v>0</v>
      </c>
      <c r="O28" s="23">
        <f>IF(O$2="","",IF($C28="","",SUMIF('رصد الدرجات'!$3:$3,O$1,'رصد الدرجات'!15:15)))</f>
        <v>0</v>
      </c>
      <c r="P28" s="23">
        <f>IF(P$2="","",IF($C28="","",SUMIF('رصد الدرجات'!$3:$3,P$1,'رصد الدرجات'!15:15)))</f>
        <v>0</v>
      </c>
      <c r="Q28" s="32">
        <f t="shared" si="5"/>
        <v>98</v>
      </c>
      <c r="R28" s="33" t="str">
        <f t="shared" si="6"/>
        <v>أ+</v>
      </c>
    </row>
    <row r="29" spans="1:18" ht="22.6" customHeight="1">
      <c r="A29" s="23">
        <f>'رصد الدرجات'!A16</f>
        <v>9</v>
      </c>
      <c r="B29" s="23" t="str">
        <f>IF('رصد الدرجات'!B16="","",'رصد الدرجات'!B16)</f>
        <v/>
      </c>
      <c r="C29" s="23" t="str">
        <f>IF('رصد الدرجات'!C16="","",'رصد الدرجات'!C16)</f>
        <v>محمد محبوب حسين</v>
      </c>
      <c r="D29" s="23">
        <f>IF(D$2="","",IF($C29="","",SUMIF('رصد الدرجات'!$3:$3,D$1,'رصد الدرجات'!16:16)))</f>
        <v>3</v>
      </c>
      <c r="E29" s="23">
        <f>IF(E$2="","",IF($C29="","",SUMIF('رصد الدرجات'!$3:$3,E$1,'رصد الدرجات'!16:16)))</f>
        <v>38</v>
      </c>
      <c r="F29" s="23">
        <f>IF(F$2="","",IF($C29="","",SUMIF('رصد الدرجات'!$3:$3,F$1,'رصد الدرجات'!16:16)))</f>
        <v>10</v>
      </c>
      <c r="G29" s="23" t="str">
        <f>IF(G$2="","",IF($C29="","",SUMIF('رصد الدرجات'!$3:$3,G$1,'رصد الدرجات'!16:16)))</f>
        <v/>
      </c>
      <c r="H29" s="23" t="str">
        <f>IF(H$2="","",IF($C29="","",SUMIF('رصد الدرجات'!$3:$3,H$1,'رصد الدرجات'!16:16)))</f>
        <v/>
      </c>
      <c r="I29" s="23">
        <f>IF(I$2="","",IF($C29="","",SUMIF('رصد الدرجات'!$3:$3,I$1,'رصد الدرجات'!16:16)))</f>
        <v>2</v>
      </c>
      <c r="J29" s="23">
        <f>IF(J$2="","",IF($C29="","",SUMIF('رصد الدرجات'!$3:$3,J$1,'رصد الدرجات'!16:16)))</f>
        <v>24</v>
      </c>
      <c r="K29" s="23">
        <f>IF(K$2="","",IF($C29="","",SUMIF('رصد الدرجات'!$3:$3,K$1,'رصد الدرجات'!16:16)))</f>
        <v>14</v>
      </c>
      <c r="L29" s="23" t="str">
        <f>IF(L$2="","",IF($C29="","",SUMIF('رصد الدرجات'!$3:$3,L$1,'رصد الدرجات'!16:16)))</f>
        <v/>
      </c>
      <c r="M29" s="23" t="str">
        <f>IF(M$2="","",IF($C29="","",SUMIF('رصد الدرجات'!$3:$3,M$1,'رصد الدرجات'!16:16)))</f>
        <v/>
      </c>
      <c r="N29" s="23">
        <f>IF(N$2="","",IF($C29="","",SUMIF('رصد الدرجات'!$3:$3,N$1,'رصد الدرجات'!16:16)))</f>
        <v>0</v>
      </c>
      <c r="O29" s="23">
        <f>IF(O$2="","",IF($C29="","",SUMIF('رصد الدرجات'!$3:$3,O$1,'رصد الدرجات'!16:16)))</f>
        <v>0</v>
      </c>
      <c r="P29" s="23">
        <f>IF(P$2="","",IF($C29="","",SUMIF('رصد الدرجات'!$3:$3,P$1,'رصد الدرجات'!16:16)))</f>
        <v>0</v>
      </c>
      <c r="Q29" s="32">
        <f t="shared" si="5"/>
        <v>91</v>
      </c>
      <c r="R29" s="33" t="str">
        <f t="shared" si="6"/>
        <v>أ</v>
      </c>
    </row>
    <row r="30" spans="1:18" ht="22.6" customHeight="1">
      <c r="A30" s="23">
        <f>'رصد الدرجات'!A17</f>
        <v>10</v>
      </c>
      <c r="B30" s="23" t="str">
        <f>IF('رصد الدرجات'!B17="","",'رصد الدرجات'!B17)</f>
        <v/>
      </c>
      <c r="C30" s="23" t="str">
        <f>IF('رصد الدرجات'!C17="","",'رصد الدرجات'!C17)</f>
        <v>محمد ريزا الغفاري</v>
      </c>
      <c r="D30" s="23">
        <f>IF(D$2="","",IF($C30="","",SUMIF('رصد الدرجات'!$3:$3,D$1,'رصد الدرجات'!17:17)))</f>
        <v>2.5</v>
      </c>
      <c r="E30" s="23">
        <f>IF(E$2="","",IF($C30="","",SUMIF('رصد الدرجات'!$3:$3,E$1,'رصد الدرجات'!17:17)))</f>
        <v>34</v>
      </c>
      <c r="F30" s="23">
        <f>IF(F$2="","",IF($C30="","",SUMIF('رصد الدرجات'!$3:$3,F$1,'رصد الدرجات'!17:17)))</f>
        <v>9.5</v>
      </c>
      <c r="G30" s="23" t="str">
        <f>IF(G$2="","",IF($C30="","",SUMIF('رصد الدرجات'!$3:$3,G$1,'رصد الدرجات'!17:17)))</f>
        <v/>
      </c>
      <c r="H30" s="23" t="str">
        <f>IF(H$2="","",IF($C30="","",SUMIF('رصد الدرجات'!$3:$3,H$1,'رصد الدرجات'!17:17)))</f>
        <v/>
      </c>
      <c r="I30" s="23">
        <f>IF(I$2="","",IF($C30="","",SUMIF('رصد الدرجات'!$3:$3,I$1,'رصد الدرجات'!17:17)))</f>
        <v>3</v>
      </c>
      <c r="J30" s="23">
        <f>IF(J$2="","",IF($C30="","",SUMIF('رصد الدرجات'!$3:$3,J$1,'رصد الدرجات'!17:17)))</f>
        <v>23</v>
      </c>
      <c r="K30" s="23">
        <f>IF(K$2="","",IF($C30="","",SUMIF('رصد الدرجات'!$3:$3,K$1,'رصد الدرجات'!17:17)))</f>
        <v>11</v>
      </c>
      <c r="L30" s="23" t="str">
        <f>IF(L$2="","",IF($C30="","",SUMIF('رصد الدرجات'!$3:$3,L$1,'رصد الدرجات'!17:17)))</f>
        <v/>
      </c>
      <c r="M30" s="23" t="str">
        <f>IF(M$2="","",IF($C30="","",SUMIF('رصد الدرجات'!$3:$3,M$1,'رصد الدرجات'!17:17)))</f>
        <v/>
      </c>
      <c r="N30" s="23">
        <f>IF(N$2="","",IF($C30="","",SUMIF('رصد الدرجات'!$3:$3,N$1,'رصد الدرجات'!17:17)))</f>
        <v>0</v>
      </c>
      <c r="O30" s="23">
        <f>IF(O$2="","",IF($C30="","",SUMIF('رصد الدرجات'!$3:$3,O$1,'رصد الدرجات'!17:17)))</f>
        <v>0</v>
      </c>
      <c r="P30" s="23">
        <f>IF(P$2="","",IF($C30="","",SUMIF('رصد الدرجات'!$3:$3,P$1,'رصد الدرجات'!17:17)))</f>
        <v>0</v>
      </c>
      <c r="Q30" s="32">
        <f t="shared" si="5"/>
        <v>83</v>
      </c>
      <c r="R30" s="33" t="str">
        <f t="shared" si="6"/>
        <v>ب</v>
      </c>
    </row>
    <row r="31" spans="1:18" ht="22.6" customHeight="1">
      <c r="A31" s="23">
        <f>'رصد الدرجات'!A18</f>
        <v>11</v>
      </c>
      <c r="B31" s="23" t="str">
        <f>IF('رصد الدرجات'!B18="","",'رصد الدرجات'!B18)</f>
        <v/>
      </c>
      <c r="C31" s="23" t="str">
        <f>IF('رصد الدرجات'!C18="","",'رصد الدرجات'!C18)</f>
        <v>سليمان حنيف</v>
      </c>
      <c r="D31" s="23">
        <f>IF(D$2="","",IF($C31="","",SUMIF('رصد الدرجات'!$3:$3,D$1,'رصد الدرجات'!18:18)))</f>
        <v>2</v>
      </c>
      <c r="E31" s="23">
        <f>IF(E$2="","",IF($C31="","",SUMIF('رصد الدرجات'!$3:$3,E$1,'رصد الدرجات'!18:18)))</f>
        <v>45</v>
      </c>
      <c r="F31" s="23">
        <f>IF(F$2="","",IF($C31="","",SUMIF('رصد الدرجات'!$3:$3,F$1,'رصد الدرجات'!18:18)))</f>
        <v>10</v>
      </c>
      <c r="G31" s="23" t="str">
        <f>IF(G$2="","",IF($C31="","",SUMIF('رصد الدرجات'!$3:$3,G$1,'رصد الدرجات'!18:18)))</f>
        <v/>
      </c>
      <c r="H31" s="23" t="str">
        <f>IF(H$2="","",IF($C31="","",SUMIF('رصد الدرجات'!$3:$3,H$1,'رصد الدرجات'!18:18)))</f>
        <v/>
      </c>
      <c r="I31" s="23">
        <f>IF(I$2="","",IF($C31="","",SUMIF('رصد الدرجات'!$3:$3,I$1,'رصد الدرجات'!18:18)))</f>
        <v>2</v>
      </c>
      <c r="J31" s="23">
        <f>IF(J$2="","",IF($C31="","",SUMIF('رصد الدرجات'!$3:$3,J$1,'رصد الدرجات'!18:18)))</f>
        <v>23</v>
      </c>
      <c r="K31" s="23">
        <f>IF(K$2="","",IF($C31="","",SUMIF('رصد الدرجات'!$3:$3,K$1,'رصد الدرجات'!18:18)))</f>
        <v>16</v>
      </c>
      <c r="L31" s="23" t="str">
        <f>IF(L$2="","",IF($C31="","",SUMIF('رصد الدرجات'!$3:$3,L$1,'رصد الدرجات'!18:18)))</f>
        <v/>
      </c>
      <c r="M31" s="23" t="str">
        <f>IF(M$2="","",IF($C31="","",SUMIF('رصد الدرجات'!$3:$3,M$1,'رصد الدرجات'!18:18)))</f>
        <v/>
      </c>
      <c r="N31" s="23">
        <f>IF(N$2="","",IF($C31="","",SUMIF('رصد الدرجات'!$3:$3,N$1,'رصد الدرجات'!18:18)))</f>
        <v>0</v>
      </c>
      <c r="O31" s="23">
        <f>IF(O$2="","",IF($C31="","",SUMIF('رصد الدرجات'!$3:$3,O$1,'رصد الدرجات'!18:18)))</f>
        <v>0</v>
      </c>
      <c r="P31" s="23">
        <f>IF(P$2="","",IF($C31="","",SUMIF('رصد الدرجات'!$3:$3,P$1,'رصد الدرجات'!18:18)))</f>
        <v>0</v>
      </c>
      <c r="Q31" s="32">
        <f t="shared" si="5"/>
        <v>98</v>
      </c>
      <c r="R31" s="33" t="str">
        <f t="shared" si="6"/>
        <v>أ+</v>
      </c>
    </row>
    <row r="32" spans="1:18" ht="22.6" customHeight="1">
      <c r="A32" s="23">
        <f>'رصد الدرجات'!A19</f>
        <v>12</v>
      </c>
      <c r="B32" s="23" t="str">
        <f>IF('رصد الدرجات'!B19="","",'رصد الدرجات'!B19)</f>
        <v/>
      </c>
      <c r="C32" s="23" t="str">
        <f>IF('رصد الدرجات'!C19="","",'رصد الدرجات'!C19)</f>
        <v>النفيدي محمد عثمان</v>
      </c>
      <c r="D32" s="23">
        <f>IF(D$2="","",IF($C32="","",SUMIF('رصد الدرجات'!$3:$3,D$1,'رصد الدرجات'!19:19)))</f>
        <v>2</v>
      </c>
      <c r="E32" s="23">
        <f>IF(E$2="","",IF($C32="","",SUMIF('رصد الدرجات'!$3:$3,E$1,'رصد الدرجات'!19:19)))</f>
        <v>35</v>
      </c>
      <c r="F32" s="23">
        <f>IF(F$2="","",IF($C32="","",SUMIF('رصد الدرجات'!$3:$3,F$1,'رصد الدرجات'!19:19)))</f>
        <v>8</v>
      </c>
      <c r="G32" s="23" t="str">
        <f>IF(G$2="","",IF($C32="","",SUMIF('رصد الدرجات'!$3:$3,G$1,'رصد الدرجات'!19:19)))</f>
        <v/>
      </c>
      <c r="H32" s="23" t="str">
        <f>IF(H$2="","",IF($C32="","",SUMIF('رصد الدرجات'!$3:$3,H$1,'رصد الدرجات'!19:19)))</f>
        <v/>
      </c>
      <c r="I32" s="23">
        <f>IF(I$2="","",IF($C32="","",SUMIF('رصد الدرجات'!$3:$3,I$1,'رصد الدرجات'!19:19)))</f>
        <v>2</v>
      </c>
      <c r="J32" s="23">
        <f>IF(J$2="","",IF($C32="","",SUMIF('رصد الدرجات'!$3:$3,J$1,'رصد الدرجات'!19:19)))</f>
        <v>17</v>
      </c>
      <c r="K32" s="23">
        <f>IF(K$2="","",IF($C32="","",SUMIF('رصد الدرجات'!$3:$3,K$1,'رصد الدرجات'!19:19)))</f>
        <v>16</v>
      </c>
      <c r="L32" s="23" t="str">
        <f>IF(L$2="","",IF($C32="","",SUMIF('رصد الدرجات'!$3:$3,L$1,'رصد الدرجات'!19:19)))</f>
        <v/>
      </c>
      <c r="M32" s="23" t="str">
        <f>IF(M$2="","",IF($C32="","",SUMIF('رصد الدرجات'!$3:$3,M$1,'رصد الدرجات'!19:19)))</f>
        <v/>
      </c>
      <c r="N32" s="23">
        <f>IF(N$2="","",IF($C32="","",SUMIF('رصد الدرجات'!$3:$3,N$1,'رصد الدرجات'!19:19)))</f>
        <v>0</v>
      </c>
      <c r="O32" s="23">
        <f>IF(O$2="","",IF($C32="","",SUMIF('رصد الدرجات'!$3:$3,O$1,'رصد الدرجات'!19:19)))</f>
        <v>0</v>
      </c>
      <c r="P32" s="23">
        <f>IF(P$2="","",IF($C32="","",SUMIF('رصد الدرجات'!$3:$3,P$1,'رصد الدرجات'!19:19)))</f>
        <v>0</v>
      </c>
      <c r="Q32" s="32">
        <f t="shared" si="5"/>
        <v>80</v>
      </c>
      <c r="R32" s="33" t="str">
        <f t="shared" si="6"/>
        <v>ب</v>
      </c>
    </row>
    <row r="33" spans="1:18" ht="22.6" customHeight="1">
      <c r="A33" s="23">
        <f>'رصد الدرجات'!A20</f>
        <v>13</v>
      </c>
      <c r="B33" s="23" t="str">
        <f>IF('رصد الدرجات'!B20="","",'رصد الدرجات'!B20)</f>
        <v/>
      </c>
      <c r="C33" s="23" t="str">
        <f>IF('رصد الدرجات'!C20="","",'رصد الدرجات'!C20)</f>
        <v>زبير عبدالسميع</v>
      </c>
      <c r="D33" s="23">
        <f>IF(D$2="","",IF($C33="","",SUMIF('رصد الدرجات'!$3:$3,D$1,'رصد الدرجات'!20:20)))</f>
        <v>0</v>
      </c>
      <c r="E33" s="23">
        <f>IF(E$2="","",IF($C33="","",SUMIF('رصد الدرجات'!$3:$3,E$1,'رصد الدرجات'!20:20)))</f>
        <v>0</v>
      </c>
      <c r="F33" s="23">
        <f>IF(F$2="","",IF($C33="","",SUMIF('رصد الدرجات'!$3:$3,F$1,'رصد الدرجات'!20:20)))</f>
        <v>0</v>
      </c>
      <c r="G33" s="23" t="str">
        <f>IF(G$2="","",IF($C33="","",SUMIF('رصد الدرجات'!$3:$3,G$1,'رصد الدرجات'!20:20)))</f>
        <v/>
      </c>
      <c r="H33" s="23" t="str">
        <f>IF(H$2="","",IF($C33="","",SUMIF('رصد الدرجات'!$3:$3,H$1,'رصد الدرجات'!20:20)))</f>
        <v/>
      </c>
      <c r="I33" s="23">
        <f>IF(I$2="","",IF($C33="","",SUMIF('رصد الدرجات'!$3:$3,I$1,'رصد الدرجات'!20:20)))</f>
        <v>0</v>
      </c>
      <c r="J33" s="23">
        <f>IF(J$2="","",IF($C33="","",SUMIF('رصد الدرجات'!$3:$3,J$1,'رصد الدرجات'!20:20)))</f>
        <v>0</v>
      </c>
      <c r="K33" s="23">
        <f>IF(K$2="","",IF($C33="","",SUMIF('رصد الدرجات'!$3:$3,K$1,'رصد الدرجات'!20:20)))</f>
        <v>0</v>
      </c>
      <c r="L33" s="23" t="str">
        <f>IF(L$2="","",IF($C33="","",SUMIF('رصد الدرجات'!$3:$3,L$1,'رصد الدرجات'!20:20)))</f>
        <v/>
      </c>
      <c r="M33" s="23" t="str">
        <f>IF(M$2="","",IF($C33="","",SUMIF('رصد الدرجات'!$3:$3,M$1,'رصد الدرجات'!20:20)))</f>
        <v/>
      </c>
      <c r="N33" s="23">
        <f>IF(N$2="","",IF($C33="","",SUMIF('رصد الدرجات'!$3:$3,N$1,'رصد الدرجات'!20:20)))</f>
        <v>0</v>
      </c>
      <c r="O33" s="23">
        <f>IF(O$2="","",IF($C33="","",SUMIF('رصد الدرجات'!$3:$3,O$1,'رصد الدرجات'!20:20)))</f>
        <v>0</v>
      </c>
      <c r="P33" s="23">
        <f>IF(P$2="","",IF($C33="","",SUMIF('رصد الدرجات'!$3:$3,P$1,'رصد الدرجات'!20:20)))</f>
        <v>0</v>
      </c>
      <c r="Q33" s="32">
        <f t="shared" si="5"/>
        <v>0</v>
      </c>
      <c r="R33" s="33" t="str">
        <f t="shared" si="6"/>
        <v>ه</v>
      </c>
    </row>
    <row r="34" spans="1:18" ht="22.6" customHeight="1">
      <c r="A34" s="23">
        <f>'رصد الدرجات'!A21</f>
        <v>14</v>
      </c>
      <c r="B34" s="23" t="str">
        <f>IF('رصد الدرجات'!B21="","",'رصد الدرجات'!B21)</f>
        <v/>
      </c>
      <c r="C34" s="23" t="str">
        <f>IF('رصد الدرجات'!C21="","",'رصد الدرجات'!C21)</f>
        <v>سهيل محمد مجددي</v>
      </c>
      <c r="D34" s="23">
        <f>IF(D$2="","",IF($C34="","",SUMIF('رصد الدرجات'!$3:$3,D$1,'رصد الدرجات'!21:21)))</f>
        <v>0</v>
      </c>
      <c r="E34" s="23">
        <f>IF(E$2="","",IF($C34="","",SUMIF('رصد الدرجات'!$3:$3,E$1,'رصد الدرجات'!21:21)))</f>
        <v>0</v>
      </c>
      <c r="F34" s="23">
        <f>IF(F$2="","",IF($C34="","",SUMIF('رصد الدرجات'!$3:$3,F$1,'رصد الدرجات'!21:21)))</f>
        <v>0</v>
      </c>
      <c r="G34" s="23" t="str">
        <f>IF(G$2="","",IF($C34="","",SUMIF('رصد الدرجات'!$3:$3,G$1,'رصد الدرجات'!21:21)))</f>
        <v/>
      </c>
      <c r="H34" s="23" t="str">
        <f>IF(H$2="","",IF($C34="","",SUMIF('رصد الدرجات'!$3:$3,H$1,'رصد الدرجات'!21:21)))</f>
        <v/>
      </c>
      <c r="I34" s="23">
        <f>IF(I$2="","",IF($C34="","",SUMIF('رصد الدرجات'!$3:$3,I$1,'رصد الدرجات'!21:21)))</f>
        <v>0</v>
      </c>
      <c r="J34" s="23">
        <f>IF(J$2="","",IF($C34="","",SUMIF('رصد الدرجات'!$3:$3,J$1,'رصد الدرجات'!21:21)))</f>
        <v>0</v>
      </c>
      <c r="K34" s="23">
        <f>IF(K$2="","",IF($C34="","",SUMIF('رصد الدرجات'!$3:$3,K$1,'رصد الدرجات'!21:21)))</f>
        <v>0</v>
      </c>
      <c r="L34" s="23" t="str">
        <f>IF(L$2="","",IF($C34="","",SUMIF('رصد الدرجات'!$3:$3,L$1,'رصد الدرجات'!21:21)))</f>
        <v/>
      </c>
      <c r="M34" s="23" t="str">
        <f>IF(M$2="","",IF($C34="","",SUMIF('رصد الدرجات'!$3:$3,M$1,'رصد الدرجات'!21:21)))</f>
        <v/>
      </c>
      <c r="N34" s="23">
        <f>IF(N$2="","",IF($C34="","",SUMIF('رصد الدرجات'!$3:$3,N$1,'رصد الدرجات'!21:21)))</f>
        <v>0</v>
      </c>
      <c r="O34" s="23">
        <f>IF(O$2="","",IF($C34="","",SUMIF('رصد الدرجات'!$3:$3,O$1,'رصد الدرجات'!21:21)))</f>
        <v>0</v>
      </c>
      <c r="P34" s="23">
        <f>IF(P$2="","",IF($C34="","",SUMIF('رصد الدرجات'!$3:$3,P$1,'رصد الدرجات'!21:21)))</f>
        <v>0</v>
      </c>
      <c r="Q34" s="32">
        <f t="shared" si="5"/>
        <v>0</v>
      </c>
      <c r="R34" s="33" t="str">
        <f t="shared" si="6"/>
        <v>ه</v>
      </c>
    </row>
    <row r="35" spans="1:18" ht="22.6" customHeight="1">
      <c r="A35" s="23">
        <f>'رصد الدرجات'!A22</f>
        <v>15</v>
      </c>
      <c r="B35" s="23" t="str">
        <f>IF('رصد الدرجات'!B22="","",'رصد الدرجات'!B22)</f>
        <v/>
      </c>
      <c r="C35" s="23" t="str">
        <f>IF('رصد الدرجات'!C22="","",'رصد الدرجات'!C22)</f>
        <v>أحمد رادباده</v>
      </c>
      <c r="D35" s="23">
        <f>IF(D$2="","",IF($C35="","",SUMIF('رصد الدرجات'!$3:$3,D$1,'رصد الدرجات'!22:22)))</f>
        <v>0</v>
      </c>
      <c r="E35" s="23">
        <f>IF(E$2="","",IF($C35="","",SUMIF('رصد الدرجات'!$3:$3,E$1,'رصد الدرجات'!22:22)))</f>
        <v>0</v>
      </c>
      <c r="F35" s="23">
        <f>IF(F$2="","",IF($C35="","",SUMIF('رصد الدرجات'!$3:$3,F$1,'رصد الدرجات'!22:22)))</f>
        <v>0</v>
      </c>
      <c r="G35" s="23" t="str">
        <f>IF(G$2="","",IF($C35="","",SUMIF('رصد الدرجات'!$3:$3,G$1,'رصد الدرجات'!22:22)))</f>
        <v/>
      </c>
      <c r="H35" s="23" t="str">
        <f>IF(H$2="","",IF($C35="","",SUMIF('رصد الدرجات'!$3:$3,H$1,'رصد الدرجات'!22:22)))</f>
        <v/>
      </c>
      <c r="I35" s="23">
        <f>IF(I$2="","",IF($C35="","",SUMIF('رصد الدرجات'!$3:$3,I$1,'رصد الدرجات'!22:22)))</f>
        <v>0</v>
      </c>
      <c r="J35" s="23">
        <f>IF(J$2="","",IF($C35="","",SUMIF('رصد الدرجات'!$3:$3,J$1,'رصد الدرجات'!22:22)))</f>
        <v>0</v>
      </c>
      <c r="K35" s="23">
        <f>IF(K$2="","",IF($C35="","",SUMIF('رصد الدرجات'!$3:$3,K$1,'رصد الدرجات'!22:22)))</f>
        <v>0</v>
      </c>
      <c r="L35" s="23" t="str">
        <f>IF(L$2="","",IF($C35="","",SUMIF('رصد الدرجات'!$3:$3,L$1,'رصد الدرجات'!22:22)))</f>
        <v/>
      </c>
      <c r="M35" s="23" t="str">
        <f>IF(M$2="","",IF($C35="","",SUMIF('رصد الدرجات'!$3:$3,M$1,'رصد الدرجات'!22:22)))</f>
        <v/>
      </c>
      <c r="N35" s="23">
        <f>IF(N$2="","",IF($C35="","",SUMIF('رصد الدرجات'!$3:$3,N$1,'رصد الدرجات'!22:22)))</f>
        <v>0</v>
      </c>
      <c r="O35" s="23">
        <f>IF(O$2="","",IF($C35="","",SUMIF('رصد الدرجات'!$3:$3,O$1,'رصد الدرجات'!22:22)))</f>
        <v>0</v>
      </c>
      <c r="P35" s="23">
        <f>IF(P$2="","",IF($C35="","",SUMIF('رصد الدرجات'!$3:$3,P$1,'رصد الدرجات'!22:22)))</f>
        <v>0</v>
      </c>
      <c r="Q35" s="32">
        <f t="shared" si="5"/>
        <v>0</v>
      </c>
      <c r="R35" s="33" t="str">
        <f t="shared" si="6"/>
        <v>ه</v>
      </c>
    </row>
    <row r="36" spans="1:18" ht="22.6" customHeight="1">
      <c r="A36" s="23">
        <f>'رصد الدرجات'!A23</f>
        <v>16</v>
      </c>
      <c r="B36" s="23" t="str">
        <f>IF('رصد الدرجات'!B23="","",'رصد الدرجات'!B23)</f>
        <v/>
      </c>
      <c r="C36" s="23" t="str">
        <f>IF('رصد الدرجات'!C23="","",'رصد الدرجات'!C23)</f>
        <v>محمد شفان</v>
      </c>
      <c r="D36" s="23">
        <f>IF(D$2="","",IF($C36="","",SUMIF('رصد الدرجات'!$3:$3,D$1,'رصد الدرجات'!23:23)))</f>
        <v>0</v>
      </c>
      <c r="E36" s="23">
        <f>IF(E$2="","",IF($C36="","",SUMIF('رصد الدرجات'!$3:$3,E$1,'رصد الدرجات'!23:23)))</f>
        <v>0</v>
      </c>
      <c r="F36" s="23">
        <f>IF(F$2="","",IF($C36="","",SUMIF('رصد الدرجات'!$3:$3,F$1,'رصد الدرجات'!23:23)))</f>
        <v>0</v>
      </c>
      <c r="G36" s="23" t="str">
        <f>IF(G$2="","",IF($C36="","",SUMIF('رصد الدرجات'!$3:$3,G$1,'رصد الدرجات'!23:23)))</f>
        <v/>
      </c>
      <c r="H36" s="23" t="str">
        <f>IF(H$2="","",IF($C36="","",SUMIF('رصد الدرجات'!$3:$3,H$1,'رصد الدرجات'!23:23)))</f>
        <v/>
      </c>
      <c r="I36" s="23">
        <f>IF(I$2="","",IF($C36="","",SUMIF('رصد الدرجات'!$3:$3,I$1,'رصد الدرجات'!23:23)))</f>
        <v>0</v>
      </c>
      <c r="J36" s="23">
        <f>IF(J$2="","",IF($C36="","",SUMIF('رصد الدرجات'!$3:$3,J$1,'رصد الدرجات'!23:23)))</f>
        <v>0</v>
      </c>
      <c r="K36" s="23">
        <f>IF(K$2="","",IF($C36="","",SUMIF('رصد الدرجات'!$3:$3,K$1,'رصد الدرجات'!23:23)))</f>
        <v>0</v>
      </c>
      <c r="L36" s="23" t="str">
        <f>IF(L$2="","",IF($C36="","",SUMIF('رصد الدرجات'!$3:$3,L$1,'رصد الدرجات'!23:23)))</f>
        <v/>
      </c>
      <c r="M36" s="23" t="str">
        <f>IF(M$2="","",IF($C36="","",SUMIF('رصد الدرجات'!$3:$3,M$1,'رصد الدرجات'!23:23)))</f>
        <v/>
      </c>
      <c r="N36" s="23">
        <f>IF(N$2="","",IF($C36="","",SUMIF('رصد الدرجات'!$3:$3,N$1,'رصد الدرجات'!23:23)))</f>
        <v>0</v>
      </c>
      <c r="O36" s="23">
        <f>IF(O$2="","",IF($C36="","",SUMIF('رصد الدرجات'!$3:$3,O$1,'رصد الدرجات'!23:23)))</f>
        <v>0</v>
      </c>
      <c r="P36" s="23">
        <f>IF(P$2="","",IF($C36="","",SUMIF('رصد الدرجات'!$3:$3,P$1,'رصد الدرجات'!23:23)))</f>
        <v>0</v>
      </c>
      <c r="Q36" s="32">
        <f t="shared" si="5"/>
        <v>0</v>
      </c>
      <c r="R36" s="33" t="str">
        <f t="shared" si="6"/>
        <v>ه</v>
      </c>
    </row>
    <row r="37" spans="1:18" ht="22.6" customHeight="1">
      <c r="A37" s="23">
        <f>'رصد الدرجات'!A24</f>
        <v>17</v>
      </c>
      <c r="B37" s="23" t="str">
        <f>IF('رصد الدرجات'!B24="","",'رصد الدرجات'!B24)</f>
        <v/>
      </c>
      <c r="C37" s="23" t="str">
        <f>IF('رصد الدرجات'!C24="","",'رصد الدرجات'!C24)</f>
        <v>سالم الهاجري</v>
      </c>
      <c r="D37" s="23">
        <f>IF(D$2="","",IF($C37="","",SUMIF('رصد الدرجات'!$3:$3,D$1,'رصد الدرجات'!24:24)))</f>
        <v>0</v>
      </c>
      <c r="E37" s="23">
        <f>IF(E$2="","",IF($C37="","",SUMIF('رصد الدرجات'!$3:$3,E$1,'رصد الدرجات'!24:24)))</f>
        <v>0</v>
      </c>
      <c r="F37" s="23">
        <f>IF(F$2="","",IF($C37="","",SUMIF('رصد الدرجات'!$3:$3,F$1,'رصد الدرجات'!24:24)))</f>
        <v>0</v>
      </c>
      <c r="G37" s="23" t="str">
        <f>IF(G$2="","",IF($C37="","",SUMIF('رصد الدرجات'!$3:$3,G$1,'رصد الدرجات'!24:24)))</f>
        <v/>
      </c>
      <c r="H37" s="23" t="str">
        <f>IF(H$2="","",IF($C37="","",SUMIF('رصد الدرجات'!$3:$3,H$1,'رصد الدرجات'!24:24)))</f>
        <v/>
      </c>
      <c r="I37" s="23">
        <f>IF(I$2="","",IF($C37="","",SUMIF('رصد الدرجات'!$3:$3,I$1,'رصد الدرجات'!24:24)))</f>
        <v>0</v>
      </c>
      <c r="J37" s="23">
        <f>IF(J$2="","",IF($C37="","",SUMIF('رصد الدرجات'!$3:$3,J$1,'رصد الدرجات'!24:24)))</f>
        <v>0</v>
      </c>
      <c r="K37" s="23">
        <f>IF(K$2="","",IF($C37="","",SUMIF('رصد الدرجات'!$3:$3,K$1,'رصد الدرجات'!24:24)))</f>
        <v>0</v>
      </c>
      <c r="L37" s="23" t="str">
        <f>IF(L$2="","",IF($C37="","",SUMIF('رصد الدرجات'!$3:$3,L$1,'رصد الدرجات'!24:24)))</f>
        <v/>
      </c>
      <c r="M37" s="23" t="str">
        <f>IF(M$2="","",IF($C37="","",SUMIF('رصد الدرجات'!$3:$3,M$1,'رصد الدرجات'!24:24)))</f>
        <v/>
      </c>
      <c r="N37" s="23">
        <f>IF(N$2="","",IF($C37="","",SUMIF('رصد الدرجات'!$3:$3,N$1,'رصد الدرجات'!24:24)))</f>
        <v>0</v>
      </c>
      <c r="O37" s="23">
        <f>IF(O$2="","",IF($C37="","",SUMIF('رصد الدرجات'!$3:$3,O$1,'رصد الدرجات'!24:24)))</f>
        <v>0</v>
      </c>
      <c r="P37" s="23">
        <f>IF(P$2="","",IF($C37="","",SUMIF('رصد الدرجات'!$3:$3,P$1,'رصد الدرجات'!24:24)))</f>
        <v>0</v>
      </c>
      <c r="Q37" s="32">
        <f t="shared" si="5"/>
        <v>0</v>
      </c>
      <c r="R37" s="33" t="str">
        <f t="shared" si="6"/>
        <v>ه</v>
      </c>
    </row>
    <row r="38" spans="1:18" ht="22.6" customHeight="1">
      <c r="A38" s="23">
        <f>'رصد الدرجات'!A25</f>
        <v>18</v>
      </c>
      <c r="B38" s="23" t="str">
        <f>IF('رصد الدرجات'!B25="","",'رصد الدرجات'!B25)</f>
        <v/>
      </c>
      <c r="C38" s="23" t="str">
        <f>IF('رصد الدرجات'!C25="","",'رصد الدرجات'!C25)</f>
        <v>سلمان المطيري</v>
      </c>
      <c r="D38" s="23">
        <f>IF(D$2="","",IF($C38="","",SUMIF('رصد الدرجات'!$3:$3,D$1,'رصد الدرجات'!25:25)))</f>
        <v>0</v>
      </c>
      <c r="E38" s="23">
        <f>IF(E$2="","",IF($C38="","",SUMIF('رصد الدرجات'!$3:$3,E$1,'رصد الدرجات'!25:25)))</f>
        <v>0</v>
      </c>
      <c r="F38" s="23">
        <f>IF(F$2="","",IF($C38="","",SUMIF('رصد الدرجات'!$3:$3,F$1,'رصد الدرجات'!25:25)))</f>
        <v>0</v>
      </c>
      <c r="G38" s="23" t="str">
        <f>IF(G$2="","",IF($C38="","",SUMIF('رصد الدرجات'!$3:$3,G$1,'رصد الدرجات'!25:25)))</f>
        <v/>
      </c>
      <c r="H38" s="23" t="str">
        <f>IF(H$2="","",IF($C38="","",SUMIF('رصد الدرجات'!$3:$3,H$1,'رصد الدرجات'!25:25)))</f>
        <v/>
      </c>
      <c r="I38" s="23">
        <f>IF(I$2="","",IF($C38="","",SUMIF('رصد الدرجات'!$3:$3,I$1,'رصد الدرجات'!25:25)))</f>
        <v>0</v>
      </c>
      <c r="J38" s="23">
        <f>IF(J$2="","",IF($C38="","",SUMIF('رصد الدرجات'!$3:$3,J$1,'رصد الدرجات'!25:25)))</f>
        <v>0</v>
      </c>
      <c r="K38" s="23">
        <f>IF(K$2="","",IF($C38="","",SUMIF('رصد الدرجات'!$3:$3,K$1,'رصد الدرجات'!25:25)))</f>
        <v>0</v>
      </c>
      <c r="L38" s="23" t="str">
        <f>IF(L$2="","",IF($C38="","",SUMIF('رصد الدرجات'!$3:$3,L$1,'رصد الدرجات'!25:25)))</f>
        <v/>
      </c>
      <c r="M38" s="23" t="str">
        <f>IF(M$2="","",IF($C38="","",SUMIF('رصد الدرجات'!$3:$3,M$1,'رصد الدرجات'!25:25)))</f>
        <v/>
      </c>
      <c r="N38" s="23">
        <f>IF(N$2="","",IF($C38="","",SUMIF('رصد الدرجات'!$3:$3,N$1,'رصد الدرجات'!25:25)))</f>
        <v>0</v>
      </c>
      <c r="O38" s="23">
        <f>IF(O$2="","",IF($C38="","",SUMIF('رصد الدرجات'!$3:$3,O$1,'رصد الدرجات'!25:25)))</f>
        <v>0</v>
      </c>
      <c r="P38" s="23">
        <f>IF(P$2="","",IF($C38="","",SUMIF('رصد الدرجات'!$3:$3,P$1,'رصد الدرجات'!25:25)))</f>
        <v>0</v>
      </c>
      <c r="Q38" s="32">
        <f t="shared" si="5"/>
        <v>0</v>
      </c>
      <c r="R38" s="33" t="str">
        <f t="shared" si="6"/>
        <v>ه</v>
      </c>
    </row>
    <row r="39" spans="1:18" ht="22.6" customHeight="1">
      <c r="A39" s="23">
        <f>'رصد الدرجات'!A26</f>
        <v>19</v>
      </c>
      <c r="B39" s="23" t="str">
        <f>IF('رصد الدرجات'!B26="","",'رصد الدرجات'!B26)</f>
        <v/>
      </c>
      <c r="C39" s="23" t="str">
        <f>IF('رصد الدرجات'!C26="","",'رصد الدرجات'!C26)</f>
        <v>علي الشنقيطي</v>
      </c>
      <c r="D39" s="23">
        <f>IF(D$2="","",IF($C39="","",SUMIF('رصد الدرجات'!$3:$3,D$1,'رصد الدرجات'!26:26)))</f>
        <v>0</v>
      </c>
      <c r="E39" s="23">
        <f>IF(E$2="","",IF($C39="","",SUMIF('رصد الدرجات'!$3:$3,E$1,'رصد الدرجات'!26:26)))</f>
        <v>0</v>
      </c>
      <c r="F39" s="23">
        <f>IF(F$2="","",IF($C39="","",SUMIF('رصد الدرجات'!$3:$3,F$1,'رصد الدرجات'!26:26)))</f>
        <v>0</v>
      </c>
      <c r="G39" s="23" t="str">
        <f>IF(G$2="","",IF($C39="","",SUMIF('رصد الدرجات'!$3:$3,G$1,'رصد الدرجات'!26:26)))</f>
        <v/>
      </c>
      <c r="H39" s="23" t="str">
        <f>IF(H$2="","",IF($C39="","",SUMIF('رصد الدرجات'!$3:$3,H$1,'رصد الدرجات'!26:26)))</f>
        <v/>
      </c>
      <c r="I39" s="23">
        <f>IF(I$2="","",IF($C39="","",SUMIF('رصد الدرجات'!$3:$3,I$1,'رصد الدرجات'!26:26)))</f>
        <v>0</v>
      </c>
      <c r="J39" s="23">
        <f>IF(J$2="","",IF($C39="","",SUMIF('رصد الدرجات'!$3:$3,J$1,'رصد الدرجات'!26:26)))</f>
        <v>0</v>
      </c>
      <c r="K39" s="23">
        <f>IF(K$2="","",IF($C39="","",SUMIF('رصد الدرجات'!$3:$3,K$1,'رصد الدرجات'!26:26)))</f>
        <v>0</v>
      </c>
      <c r="L39" s="23" t="str">
        <f>IF(L$2="","",IF($C39="","",SUMIF('رصد الدرجات'!$3:$3,L$1,'رصد الدرجات'!26:26)))</f>
        <v/>
      </c>
      <c r="M39" s="23" t="str">
        <f>IF(M$2="","",IF($C39="","",SUMIF('رصد الدرجات'!$3:$3,M$1,'رصد الدرجات'!26:26)))</f>
        <v/>
      </c>
      <c r="N39" s="23">
        <f>IF(N$2="","",IF($C39="","",SUMIF('رصد الدرجات'!$3:$3,N$1,'رصد الدرجات'!26:26)))</f>
        <v>0</v>
      </c>
      <c r="O39" s="23">
        <f>IF(O$2="","",IF($C39="","",SUMIF('رصد الدرجات'!$3:$3,O$1,'رصد الدرجات'!26:26)))</f>
        <v>0</v>
      </c>
      <c r="P39" s="23">
        <f>IF(P$2="","",IF($C39="","",SUMIF('رصد الدرجات'!$3:$3,P$1,'رصد الدرجات'!26:26)))</f>
        <v>0</v>
      </c>
      <c r="Q39" s="32">
        <f t="shared" si="5"/>
        <v>0</v>
      </c>
      <c r="R39" s="33" t="str">
        <f t="shared" si="6"/>
        <v>ه</v>
      </c>
    </row>
    <row r="40" spans="1:18" ht="22.6" customHeight="1">
      <c r="A40" s="23">
        <f>'رصد الدرجات'!A27</f>
        <v>20</v>
      </c>
      <c r="B40" s="23" t="str">
        <f>IF('رصد الدرجات'!B27="","",'رصد الدرجات'!B27)</f>
        <v/>
      </c>
      <c r="C40" s="23" t="str">
        <f>IF('رصد الدرجات'!C27="","",'رصد الدرجات'!C27)</f>
        <v>مسعود الرحمن</v>
      </c>
      <c r="D40" s="23">
        <f>IF(D$2="","",IF($C40="","",SUMIF('رصد الدرجات'!$3:$3,D$1,'رصد الدرجات'!27:27)))</f>
        <v>0</v>
      </c>
      <c r="E40" s="23">
        <f>IF(E$2="","",IF($C40="","",SUMIF('رصد الدرجات'!$3:$3,E$1,'رصد الدرجات'!27:27)))</f>
        <v>0</v>
      </c>
      <c r="F40" s="23">
        <f>IF(F$2="","",IF($C40="","",SUMIF('رصد الدرجات'!$3:$3,F$1,'رصد الدرجات'!27:27)))</f>
        <v>0</v>
      </c>
      <c r="G40" s="23" t="str">
        <f>IF(G$2="","",IF($C40="","",SUMIF('رصد الدرجات'!$3:$3,G$1,'رصد الدرجات'!27:27)))</f>
        <v/>
      </c>
      <c r="H40" s="23" t="str">
        <f>IF(H$2="","",IF($C40="","",SUMIF('رصد الدرجات'!$3:$3,H$1,'رصد الدرجات'!27:27)))</f>
        <v/>
      </c>
      <c r="I40" s="23">
        <f>IF(I$2="","",IF($C40="","",SUMIF('رصد الدرجات'!$3:$3,I$1,'رصد الدرجات'!27:27)))</f>
        <v>0</v>
      </c>
      <c r="J40" s="23">
        <f>IF(J$2="","",IF($C40="","",SUMIF('رصد الدرجات'!$3:$3,J$1,'رصد الدرجات'!27:27)))</f>
        <v>0</v>
      </c>
      <c r="K40" s="23">
        <f>IF(K$2="","",IF($C40="","",SUMIF('رصد الدرجات'!$3:$3,K$1,'رصد الدرجات'!27:27)))</f>
        <v>0</v>
      </c>
      <c r="L40" s="23" t="str">
        <f>IF(L$2="","",IF($C40="","",SUMIF('رصد الدرجات'!$3:$3,L$1,'رصد الدرجات'!27:27)))</f>
        <v/>
      </c>
      <c r="M40" s="23" t="str">
        <f>IF(M$2="","",IF($C40="","",SUMIF('رصد الدرجات'!$3:$3,M$1,'رصد الدرجات'!27:27)))</f>
        <v/>
      </c>
      <c r="N40" s="23">
        <f>IF(N$2="","",IF($C40="","",SUMIF('رصد الدرجات'!$3:$3,N$1,'رصد الدرجات'!27:27)))</f>
        <v>0</v>
      </c>
      <c r="O40" s="23">
        <f>IF(O$2="","",IF($C40="","",SUMIF('رصد الدرجات'!$3:$3,O$1,'رصد الدرجات'!27:27)))</f>
        <v>0</v>
      </c>
      <c r="P40" s="23">
        <f>IF(P$2="","",IF($C40="","",SUMIF('رصد الدرجات'!$3:$3,P$1,'رصد الدرجات'!27:27)))</f>
        <v>0</v>
      </c>
      <c r="Q40" s="32">
        <f t="shared" si="5"/>
        <v>0</v>
      </c>
      <c r="R40" s="33" t="str">
        <f t="shared" si="6"/>
        <v>ه</v>
      </c>
    </row>
    <row r="41" spans="1:18" ht="22.6" customHeight="1">
      <c r="A41" s="23">
        <f>'رصد الدرجات'!A28</f>
        <v>21</v>
      </c>
      <c r="B41" s="23" t="str">
        <f>IF('رصد الدرجات'!B28="","",'رصد الدرجات'!B28)</f>
        <v/>
      </c>
      <c r="C41" s="23" t="str">
        <f>IF('رصد الدرجات'!C28="","",'رصد الدرجات'!C28)</f>
        <v>مدثر محمد</v>
      </c>
      <c r="D41" s="23">
        <f>IF(D$2="","",IF($C41="","",SUMIF('رصد الدرجات'!$3:$3,D$1,'رصد الدرجات'!28:28)))</f>
        <v>0</v>
      </c>
      <c r="E41" s="23">
        <f>IF(E$2="","",IF($C41="","",SUMIF('رصد الدرجات'!$3:$3,E$1,'رصد الدرجات'!28:28)))</f>
        <v>0</v>
      </c>
      <c r="F41" s="23">
        <f>IF(F$2="","",IF($C41="","",SUMIF('رصد الدرجات'!$3:$3,F$1,'رصد الدرجات'!28:28)))</f>
        <v>0</v>
      </c>
      <c r="G41" s="23" t="str">
        <f>IF(G$2="","",IF($C41="","",SUMIF('رصد الدرجات'!$3:$3,G$1,'رصد الدرجات'!28:28)))</f>
        <v/>
      </c>
      <c r="H41" s="23" t="str">
        <f>IF(H$2="","",IF($C41="","",SUMIF('رصد الدرجات'!$3:$3,H$1,'رصد الدرجات'!28:28)))</f>
        <v/>
      </c>
      <c r="I41" s="23">
        <f>IF(I$2="","",IF($C41="","",SUMIF('رصد الدرجات'!$3:$3,I$1,'رصد الدرجات'!28:28)))</f>
        <v>0</v>
      </c>
      <c r="J41" s="23">
        <f>IF(J$2="","",IF($C41="","",SUMIF('رصد الدرجات'!$3:$3,J$1,'رصد الدرجات'!28:28)))</f>
        <v>0</v>
      </c>
      <c r="K41" s="23">
        <f>IF(K$2="","",IF($C41="","",SUMIF('رصد الدرجات'!$3:$3,K$1,'رصد الدرجات'!28:28)))</f>
        <v>0</v>
      </c>
      <c r="L41" s="23" t="str">
        <f>IF(L$2="","",IF($C41="","",SUMIF('رصد الدرجات'!$3:$3,L$1,'رصد الدرجات'!28:28)))</f>
        <v/>
      </c>
      <c r="M41" s="23" t="str">
        <f>IF(M$2="","",IF($C41="","",SUMIF('رصد الدرجات'!$3:$3,M$1,'رصد الدرجات'!28:28)))</f>
        <v/>
      </c>
      <c r="N41" s="23">
        <f>IF(N$2="","",IF($C41="","",SUMIF('رصد الدرجات'!$3:$3,N$1,'رصد الدرجات'!28:28)))</f>
        <v>0</v>
      </c>
      <c r="O41" s="23">
        <f>IF(O$2="","",IF($C41="","",SUMIF('رصد الدرجات'!$3:$3,O$1,'رصد الدرجات'!28:28)))</f>
        <v>0</v>
      </c>
      <c r="P41" s="23">
        <f>IF(P$2="","",IF($C41="","",SUMIF('رصد الدرجات'!$3:$3,P$1,'رصد الدرجات'!28:28)))</f>
        <v>0</v>
      </c>
      <c r="Q41" s="32">
        <f t="shared" si="5"/>
        <v>0</v>
      </c>
      <c r="R41" s="33" t="str">
        <f t="shared" si="6"/>
        <v>ه</v>
      </c>
    </row>
    <row r="42" spans="1:18" ht="22.6" customHeight="1">
      <c r="A42" s="23">
        <f>'رصد الدرجات'!A29</f>
        <v>22</v>
      </c>
      <c r="B42" s="23" t="str">
        <f>IF('رصد الدرجات'!B29="","",'رصد الدرجات'!B29)</f>
        <v/>
      </c>
      <c r="C42" s="23" t="str">
        <f>IF('رصد الدرجات'!C29="","",'رصد الدرجات'!C29)</f>
        <v>أبوبكر الماحي</v>
      </c>
      <c r="D42" s="23">
        <f>IF(D$2="","",IF($C42="","",SUMIF('رصد الدرجات'!$3:$3,D$1,'رصد الدرجات'!29:29)))</f>
        <v>0</v>
      </c>
      <c r="E42" s="23">
        <f>IF(E$2="","",IF($C42="","",SUMIF('رصد الدرجات'!$3:$3,E$1,'رصد الدرجات'!29:29)))</f>
        <v>0</v>
      </c>
      <c r="F42" s="23">
        <f>IF(F$2="","",IF($C42="","",SUMIF('رصد الدرجات'!$3:$3,F$1,'رصد الدرجات'!29:29)))</f>
        <v>0</v>
      </c>
      <c r="G42" s="23" t="str">
        <f>IF(G$2="","",IF($C42="","",SUMIF('رصد الدرجات'!$3:$3,G$1,'رصد الدرجات'!29:29)))</f>
        <v/>
      </c>
      <c r="H42" s="23" t="str">
        <f>IF(H$2="","",IF($C42="","",SUMIF('رصد الدرجات'!$3:$3,H$1,'رصد الدرجات'!29:29)))</f>
        <v/>
      </c>
      <c r="I42" s="23">
        <f>IF(I$2="","",IF($C42="","",SUMIF('رصد الدرجات'!$3:$3,I$1,'رصد الدرجات'!29:29)))</f>
        <v>0</v>
      </c>
      <c r="J42" s="23">
        <f>IF(J$2="","",IF($C42="","",SUMIF('رصد الدرجات'!$3:$3,J$1,'رصد الدرجات'!29:29)))</f>
        <v>0</v>
      </c>
      <c r="K42" s="23">
        <f>IF(K$2="","",IF($C42="","",SUMIF('رصد الدرجات'!$3:$3,K$1,'رصد الدرجات'!29:29)))</f>
        <v>0</v>
      </c>
      <c r="L42" s="23" t="str">
        <f>IF(L$2="","",IF($C42="","",SUMIF('رصد الدرجات'!$3:$3,L$1,'رصد الدرجات'!29:29)))</f>
        <v/>
      </c>
      <c r="M42" s="23" t="str">
        <f>IF(M$2="","",IF($C42="","",SUMIF('رصد الدرجات'!$3:$3,M$1,'رصد الدرجات'!29:29)))</f>
        <v/>
      </c>
      <c r="N42" s="23">
        <f>IF(N$2="","",IF($C42="","",SUMIF('رصد الدرجات'!$3:$3,N$1,'رصد الدرجات'!29:29)))</f>
        <v>0</v>
      </c>
      <c r="O42" s="23">
        <f>IF(O$2="","",IF($C42="","",SUMIF('رصد الدرجات'!$3:$3,O$1,'رصد الدرجات'!29:29)))</f>
        <v>0</v>
      </c>
      <c r="P42" s="23">
        <f>IF(P$2="","",IF($C42="","",SUMIF('رصد الدرجات'!$3:$3,P$1,'رصد الدرجات'!29:29)))</f>
        <v>0</v>
      </c>
      <c r="Q42" s="32">
        <f t="shared" si="5"/>
        <v>0</v>
      </c>
      <c r="R42" s="33" t="str">
        <f t="shared" si="6"/>
        <v>ه</v>
      </c>
    </row>
    <row r="43" spans="1:18" ht="22.6" customHeight="1">
      <c r="A43" s="23">
        <f>'رصد الدرجات'!A30</f>
        <v>23</v>
      </c>
      <c r="B43" s="23" t="str">
        <f>IF('رصد الدرجات'!B30="","",'رصد الدرجات'!B30)</f>
        <v/>
      </c>
      <c r="C43" s="23" t="str">
        <f>IF('رصد الدرجات'!C30="","",'رصد الدرجات'!C30)</f>
        <v>أبوكر عبدالمجيد</v>
      </c>
      <c r="D43" s="23">
        <f>IF(D$2="","",IF($C43="","",SUMIF('رصد الدرجات'!$3:$3,D$1,'رصد الدرجات'!30:30)))</f>
        <v>0</v>
      </c>
      <c r="E43" s="23">
        <f>IF(E$2="","",IF($C43="","",SUMIF('رصد الدرجات'!$3:$3,E$1,'رصد الدرجات'!30:30)))</f>
        <v>0</v>
      </c>
      <c r="F43" s="23">
        <f>IF(F$2="","",IF($C43="","",SUMIF('رصد الدرجات'!$3:$3,F$1,'رصد الدرجات'!30:30)))</f>
        <v>0</v>
      </c>
      <c r="G43" s="23" t="str">
        <f>IF(G$2="","",IF($C43="","",SUMIF('رصد الدرجات'!$3:$3,G$1,'رصد الدرجات'!30:30)))</f>
        <v/>
      </c>
      <c r="H43" s="23" t="str">
        <f>IF(H$2="","",IF($C43="","",SUMIF('رصد الدرجات'!$3:$3,H$1,'رصد الدرجات'!30:30)))</f>
        <v/>
      </c>
      <c r="I43" s="23">
        <f>IF(I$2="","",IF($C43="","",SUMIF('رصد الدرجات'!$3:$3,I$1,'رصد الدرجات'!30:30)))</f>
        <v>0</v>
      </c>
      <c r="J43" s="23">
        <f>IF(J$2="","",IF($C43="","",SUMIF('رصد الدرجات'!$3:$3,J$1,'رصد الدرجات'!30:30)))</f>
        <v>0</v>
      </c>
      <c r="K43" s="23">
        <f>IF(K$2="","",IF($C43="","",SUMIF('رصد الدرجات'!$3:$3,K$1,'رصد الدرجات'!30:30)))</f>
        <v>0</v>
      </c>
      <c r="L43" s="23" t="str">
        <f>IF(L$2="","",IF($C43="","",SUMIF('رصد الدرجات'!$3:$3,L$1,'رصد الدرجات'!30:30)))</f>
        <v/>
      </c>
      <c r="M43" s="23" t="str">
        <f>IF(M$2="","",IF($C43="","",SUMIF('رصد الدرجات'!$3:$3,M$1,'رصد الدرجات'!30:30)))</f>
        <v/>
      </c>
      <c r="N43" s="23">
        <f>IF(N$2="","",IF($C43="","",SUMIF('رصد الدرجات'!$3:$3,N$1,'رصد الدرجات'!30:30)))</f>
        <v>0</v>
      </c>
      <c r="O43" s="23">
        <f>IF(O$2="","",IF($C43="","",SUMIF('رصد الدرجات'!$3:$3,O$1,'رصد الدرجات'!30:30)))</f>
        <v>0</v>
      </c>
      <c r="P43" s="23">
        <f>IF(P$2="","",IF($C43="","",SUMIF('رصد الدرجات'!$3:$3,P$1,'رصد الدرجات'!30:30)))</f>
        <v>0</v>
      </c>
      <c r="Q43" s="32">
        <f t="shared" si="5"/>
        <v>0</v>
      </c>
      <c r="R43" s="33" t="str">
        <f t="shared" si="6"/>
        <v>ه</v>
      </c>
    </row>
    <row r="44" spans="1:18" ht="22.6" customHeight="1">
      <c r="A44" s="23">
        <f>'رصد الدرجات'!A31</f>
        <v>24</v>
      </c>
      <c r="B44" s="23" t="str">
        <f>IF('رصد الدرجات'!B31="","",'رصد الدرجات'!B31)</f>
        <v/>
      </c>
      <c r="C44" s="23" t="str">
        <f>IF('رصد الدرجات'!C31="","",'رصد الدرجات'!C31)</f>
        <v/>
      </c>
      <c r="D44" s="23" t="str">
        <f>IF(D$2="","",IF($C44="","",SUMIF('رصد الدرجات'!$3:$3,D$1,'رصد الدرجات'!31:31)))</f>
        <v/>
      </c>
      <c r="E44" s="23" t="str">
        <f>IF(E$2="","",IF($C44="","",SUMIF('رصد الدرجات'!$3:$3,E$1,'رصد الدرجات'!31:31)))</f>
        <v/>
      </c>
      <c r="F44" s="23" t="str">
        <f>IF(F$2="","",IF($C44="","",SUMIF('رصد الدرجات'!$3:$3,F$1,'رصد الدرجات'!31:31)))</f>
        <v/>
      </c>
      <c r="G44" s="23" t="str">
        <f>IF(G$2="","",IF($C44="","",SUMIF('رصد الدرجات'!$3:$3,G$1,'رصد الدرجات'!31:31)))</f>
        <v/>
      </c>
      <c r="H44" s="23" t="str">
        <f>IF(H$2="","",IF($C44="","",SUMIF('رصد الدرجات'!$3:$3,H$1,'رصد الدرجات'!31:31)))</f>
        <v/>
      </c>
      <c r="I44" s="23" t="str">
        <f>IF(I$2="","",IF($C44="","",SUMIF('رصد الدرجات'!$3:$3,I$1,'رصد الدرجات'!31:31)))</f>
        <v/>
      </c>
      <c r="J44" s="23" t="str">
        <f>IF(J$2="","",IF($C44="","",SUMIF('رصد الدرجات'!$3:$3,J$1,'رصد الدرجات'!31:31)))</f>
        <v/>
      </c>
      <c r="K44" s="23" t="str">
        <f>IF(K$2="","",IF($C44="","",SUMIF('رصد الدرجات'!$3:$3,K$1,'رصد الدرجات'!31:31)))</f>
        <v/>
      </c>
      <c r="L44" s="23" t="str">
        <f>IF(L$2="","",IF($C44="","",SUMIF('رصد الدرجات'!$3:$3,L$1,'رصد الدرجات'!31:31)))</f>
        <v/>
      </c>
      <c r="M44" s="23" t="str">
        <f>IF(M$2="","",IF($C44="","",SUMIF('رصد الدرجات'!$3:$3,M$1,'رصد الدرجات'!31:31)))</f>
        <v/>
      </c>
      <c r="N44" s="23" t="str">
        <f>IF(N$2="","",IF($C44="","",SUMIF('رصد الدرجات'!$3:$3,N$1,'رصد الدرجات'!31:31)))</f>
        <v/>
      </c>
      <c r="O44" s="23" t="str">
        <f>IF(O$2="","",IF($C44="","",SUMIF('رصد الدرجات'!$3:$3,O$1,'رصد الدرجات'!31:31)))</f>
        <v/>
      </c>
      <c r="P44" s="23" t="str">
        <f>IF(P$2="","",IF($C44="","",SUMIF('رصد الدرجات'!$3:$3,P$1,'رصد الدرجات'!31:31)))</f>
        <v/>
      </c>
      <c r="Q44" s="32" t="str">
        <f t="shared" si="5"/>
        <v/>
      </c>
      <c r="R44" s="33" t="str">
        <f t="shared" si="6"/>
        <v/>
      </c>
    </row>
    <row r="45" spans="1:18" ht="22.6" customHeight="1">
      <c r="A45" s="23">
        <f>'رصد الدرجات'!A32</f>
        <v>25</v>
      </c>
      <c r="B45" s="23" t="str">
        <f>IF('رصد الدرجات'!B32="","",'رصد الدرجات'!B32)</f>
        <v/>
      </c>
      <c r="C45" s="23" t="str">
        <f>IF('رصد الدرجات'!C32="","",'رصد الدرجات'!C32)</f>
        <v/>
      </c>
      <c r="D45" s="23" t="str">
        <f>IF(D$2="","",IF($C45="","",SUMIF('رصد الدرجات'!$3:$3,D$1,'رصد الدرجات'!32:32)))</f>
        <v/>
      </c>
      <c r="E45" s="23" t="str">
        <f>IF(E$2="","",IF($C45="","",SUMIF('رصد الدرجات'!$3:$3,E$1,'رصد الدرجات'!32:32)))</f>
        <v/>
      </c>
      <c r="F45" s="23" t="str">
        <f>IF(F$2="","",IF($C45="","",SUMIF('رصد الدرجات'!$3:$3,F$1,'رصد الدرجات'!32:32)))</f>
        <v/>
      </c>
      <c r="G45" s="23" t="str">
        <f>IF(G$2="","",IF($C45="","",SUMIF('رصد الدرجات'!$3:$3,G$1,'رصد الدرجات'!32:32)))</f>
        <v/>
      </c>
      <c r="H45" s="23" t="str">
        <f>IF(H$2="","",IF($C45="","",SUMIF('رصد الدرجات'!$3:$3,H$1,'رصد الدرجات'!32:32)))</f>
        <v/>
      </c>
      <c r="I45" s="23" t="str">
        <f>IF(I$2="","",IF($C45="","",SUMIF('رصد الدرجات'!$3:$3,I$1,'رصد الدرجات'!32:32)))</f>
        <v/>
      </c>
      <c r="J45" s="23" t="str">
        <f>IF(J$2="","",IF($C45="","",SUMIF('رصد الدرجات'!$3:$3,J$1,'رصد الدرجات'!32:32)))</f>
        <v/>
      </c>
      <c r="K45" s="23" t="str">
        <f>IF(K$2="","",IF($C45="","",SUMIF('رصد الدرجات'!$3:$3,K$1,'رصد الدرجات'!32:32)))</f>
        <v/>
      </c>
      <c r="L45" s="23" t="str">
        <f>IF(L$2="","",IF($C45="","",SUMIF('رصد الدرجات'!$3:$3,L$1,'رصد الدرجات'!32:32)))</f>
        <v/>
      </c>
      <c r="M45" s="23" t="str">
        <f>IF(M$2="","",IF($C45="","",SUMIF('رصد الدرجات'!$3:$3,M$1,'رصد الدرجات'!32:32)))</f>
        <v/>
      </c>
      <c r="N45" s="23" t="str">
        <f>IF(N$2="","",IF($C45="","",SUMIF('رصد الدرجات'!$3:$3,N$1,'رصد الدرجات'!32:32)))</f>
        <v/>
      </c>
      <c r="O45" s="23" t="str">
        <f>IF(O$2="","",IF($C45="","",SUMIF('رصد الدرجات'!$3:$3,O$1,'رصد الدرجات'!32:32)))</f>
        <v/>
      </c>
      <c r="P45" s="23" t="str">
        <f>IF(P$2="","",IF($C45="","",SUMIF('رصد الدرجات'!$3:$3,P$1,'رصد الدرجات'!32:32)))</f>
        <v/>
      </c>
      <c r="Q45" s="32" t="str">
        <f t="shared" si="5"/>
        <v/>
      </c>
      <c r="R45" s="33" t="str">
        <f t="shared" si="6"/>
        <v/>
      </c>
    </row>
    <row r="46" spans="1:18" ht="22.6" customHeight="1">
      <c r="A46" s="23">
        <f>'رصد الدرجات'!A33</f>
        <v>26</v>
      </c>
      <c r="B46" s="23" t="str">
        <f>IF('رصد الدرجات'!B33="","",'رصد الدرجات'!B33)</f>
        <v/>
      </c>
      <c r="C46" s="23" t="str">
        <f>IF('رصد الدرجات'!C33="","",'رصد الدرجات'!C33)</f>
        <v/>
      </c>
      <c r="D46" s="23" t="str">
        <f>IF(D$2="","",IF($C46="","",SUMIF('رصد الدرجات'!$3:$3,D$1,'رصد الدرجات'!33:33)))</f>
        <v/>
      </c>
      <c r="E46" s="23" t="str">
        <f>IF(E$2="","",IF($C46="","",SUMIF('رصد الدرجات'!$3:$3,E$1,'رصد الدرجات'!33:33)))</f>
        <v/>
      </c>
      <c r="F46" s="23" t="str">
        <f>IF(F$2="","",IF($C46="","",SUMIF('رصد الدرجات'!$3:$3,F$1,'رصد الدرجات'!33:33)))</f>
        <v/>
      </c>
      <c r="G46" s="23" t="str">
        <f>IF(G$2="","",IF($C46="","",SUMIF('رصد الدرجات'!$3:$3,G$1,'رصد الدرجات'!33:33)))</f>
        <v/>
      </c>
      <c r="H46" s="23" t="str">
        <f>IF(H$2="","",IF($C46="","",SUMIF('رصد الدرجات'!$3:$3,H$1,'رصد الدرجات'!33:33)))</f>
        <v/>
      </c>
      <c r="I46" s="23" t="str">
        <f>IF(I$2="","",IF($C46="","",SUMIF('رصد الدرجات'!$3:$3,I$1,'رصد الدرجات'!33:33)))</f>
        <v/>
      </c>
      <c r="J46" s="23" t="str">
        <f>IF(J$2="","",IF($C46="","",SUMIF('رصد الدرجات'!$3:$3,J$1,'رصد الدرجات'!33:33)))</f>
        <v/>
      </c>
      <c r="K46" s="23" t="str">
        <f>IF(K$2="","",IF($C46="","",SUMIF('رصد الدرجات'!$3:$3,K$1,'رصد الدرجات'!33:33)))</f>
        <v/>
      </c>
      <c r="L46" s="23" t="str">
        <f>IF(L$2="","",IF($C46="","",SUMIF('رصد الدرجات'!$3:$3,L$1,'رصد الدرجات'!33:33)))</f>
        <v/>
      </c>
      <c r="M46" s="23" t="str">
        <f>IF(M$2="","",IF($C46="","",SUMIF('رصد الدرجات'!$3:$3,M$1,'رصد الدرجات'!33:33)))</f>
        <v/>
      </c>
      <c r="N46" s="23" t="str">
        <f>IF(N$2="","",IF($C46="","",SUMIF('رصد الدرجات'!$3:$3,N$1,'رصد الدرجات'!33:33)))</f>
        <v/>
      </c>
      <c r="O46" s="23" t="str">
        <f>IF(O$2="","",IF($C46="","",SUMIF('رصد الدرجات'!$3:$3,O$1,'رصد الدرجات'!33:33)))</f>
        <v/>
      </c>
      <c r="P46" s="23" t="str">
        <f>IF(P$2="","",IF($C46="","",SUMIF('رصد الدرجات'!$3:$3,P$1,'رصد الدرجات'!33:33)))</f>
        <v/>
      </c>
      <c r="Q46" s="32" t="str">
        <f t="shared" si="5"/>
        <v/>
      </c>
      <c r="R46" s="33" t="str">
        <f t="shared" si="6"/>
        <v/>
      </c>
    </row>
    <row r="47" spans="1:18" ht="22.6" customHeight="1">
      <c r="A47" s="23">
        <f>'رصد الدرجات'!A34</f>
        <v>27</v>
      </c>
      <c r="B47" s="23" t="str">
        <f>IF('رصد الدرجات'!B34="","",'رصد الدرجات'!B34)</f>
        <v/>
      </c>
      <c r="C47" s="23" t="str">
        <f>IF('رصد الدرجات'!C34="","",'رصد الدرجات'!C34)</f>
        <v/>
      </c>
      <c r="D47" s="23" t="str">
        <f>IF(D$2="","",IF($C47="","",SUMIF('رصد الدرجات'!$3:$3,D$1,'رصد الدرجات'!34:34)))</f>
        <v/>
      </c>
      <c r="E47" s="23" t="str">
        <f>IF(E$2="","",IF($C47="","",SUMIF('رصد الدرجات'!$3:$3,E$1,'رصد الدرجات'!34:34)))</f>
        <v/>
      </c>
      <c r="F47" s="23" t="str">
        <f>IF(F$2="","",IF($C47="","",SUMIF('رصد الدرجات'!$3:$3,F$1,'رصد الدرجات'!34:34)))</f>
        <v/>
      </c>
      <c r="G47" s="23" t="str">
        <f>IF(G$2="","",IF($C47="","",SUMIF('رصد الدرجات'!$3:$3,G$1,'رصد الدرجات'!34:34)))</f>
        <v/>
      </c>
      <c r="H47" s="23" t="str">
        <f>IF(H$2="","",IF($C47="","",SUMIF('رصد الدرجات'!$3:$3,H$1,'رصد الدرجات'!34:34)))</f>
        <v/>
      </c>
      <c r="I47" s="23" t="str">
        <f>IF(I$2="","",IF($C47="","",SUMIF('رصد الدرجات'!$3:$3,I$1,'رصد الدرجات'!34:34)))</f>
        <v/>
      </c>
      <c r="J47" s="23" t="str">
        <f>IF(J$2="","",IF($C47="","",SUMIF('رصد الدرجات'!$3:$3,J$1,'رصد الدرجات'!34:34)))</f>
        <v/>
      </c>
      <c r="K47" s="23" t="str">
        <f>IF(K$2="","",IF($C47="","",SUMIF('رصد الدرجات'!$3:$3,K$1,'رصد الدرجات'!34:34)))</f>
        <v/>
      </c>
      <c r="L47" s="23" t="str">
        <f>IF(L$2="","",IF($C47="","",SUMIF('رصد الدرجات'!$3:$3,L$1,'رصد الدرجات'!34:34)))</f>
        <v/>
      </c>
      <c r="M47" s="23" t="str">
        <f>IF(M$2="","",IF($C47="","",SUMIF('رصد الدرجات'!$3:$3,M$1,'رصد الدرجات'!34:34)))</f>
        <v/>
      </c>
      <c r="N47" s="23" t="str">
        <f>IF(N$2="","",IF($C47="","",SUMIF('رصد الدرجات'!$3:$3,N$1,'رصد الدرجات'!34:34)))</f>
        <v/>
      </c>
      <c r="O47" s="23" t="str">
        <f>IF(O$2="","",IF($C47="","",SUMIF('رصد الدرجات'!$3:$3,O$1,'رصد الدرجات'!34:34)))</f>
        <v/>
      </c>
      <c r="P47" s="23" t="str">
        <f>IF(P$2="","",IF($C47="","",SUMIF('رصد الدرجات'!$3:$3,P$1,'رصد الدرجات'!34:34)))</f>
        <v/>
      </c>
      <c r="Q47" s="32" t="str">
        <f t="shared" si="5"/>
        <v/>
      </c>
      <c r="R47" s="33" t="str">
        <f t="shared" si="6"/>
        <v/>
      </c>
    </row>
    <row r="48" spans="1:18" ht="22.6" customHeight="1">
      <c r="A48" s="23">
        <f>'رصد الدرجات'!A35</f>
        <v>28</v>
      </c>
      <c r="B48" s="23" t="str">
        <f>IF('رصد الدرجات'!B35="","",'رصد الدرجات'!B35)</f>
        <v/>
      </c>
      <c r="C48" s="23" t="str">
        <f>IF('رصد الدرجات'!C35="","",'رصد الدرجات'!C35)</f>
        <v/>
      </c>
      <c r="D48" s="23" t="str">
        <f>IF(D$2="","",IF($C48="","",SUMIF('رصد الدرجات'!$3:$3,D$1,'رصد الدرجات'!35:35)))</f>
        <v/>
      </c>
      <c r="E48" s="23" t="str">
        <f>IF(E$2="","",IF($C48="","",SUMIF('رصد الدرجات'!$3:$3,E$1,'رصد الدرجات'!35:35)))</f>
        <v/>
      </c>
      <c r="F48" s="23" t="str">
        <f>IF(F$2="","",IF($C48="","",SUMIF('رصد الدرجات'!$3:$3,F$1,'رصد الدرجات'!35:35)))</f>
        <v/>
      </c>
      <c r="G48" s="23" t="str">
        <f>IF(G$2="","",IF($C48="","",SUMIF('رصد الدرجات'!$3:$3,G$1,'رصد الدرجات'!35:35)))</f>
        <v/>
      </c>
      <c r="H48" s="23" t="str">
        <f>IF(H$2="","",IF($C48="","",SUMIF('رصد الدرجات'!$3:$3,H$1,'رصد الدرجات'!35:35)))</f>
        <v/>
      </c>
      <c r="I48" s="23" t="str">
        <f>IF(I$2="","",IF($C48="","",SUMIF('رصد الدرجات'!$3:$3,I$1,'رصد الدرجات'!35:35)))</f>
        <v/>
      </c>
      <c r="J48" s="23" t="str">
        <f>IF(J$2="","",IF($C48="","",SUMIF('رصد الدرجات'!$3:$3,J$1,'رصد الدرجات'!35:35)))</f>
        <v/>
      </c>
      <c r="K48" s="23" t="str">
        <f>IF(K$2="","",IF($C48="","",SUMIF('رصد الدرجات'!$3:$3,K$1,'رصد الدرجات'!35:35)))</f>
        <v/>
      </c>
      <c r="L48" s="23" t="str">
        <f>IF(L$2="","",IF($C48="","",SUMIF('رصد الدرجات'!$3:$3,L$1,'رصد الدرجات'!35:35)))</f>
        <v/>
      </c>
      <c r="M48" s="23" t="str">
        <f>IF(M$2="","",IF($C48="","",SUMIF('رصد الدرجات'!$3:$3,M$1,'رصد الدرجات'!35:35)))</f>
        <v/>
      </c>
      <c r="N48" s="23" t="str">
        <f>IF(N$2="","",IF($C48="","",SUMIF('رصد الدرجات'!$3:$3,N$1,'رصد الدرجات'!35:35)))</f>
        <v/>
      </c>
      <c r="O48" s="23" t="str">
        <f>IF(O$2="","",IF($C48="","",SUMIF('رصد الدرجات'!$3:$3,O$1,'رصد الدرجات'!35:35)))</f>
        <v/>
      </c>
      <c r="P48" s="23" t="str">
        <f>IF(P$2="","",IF($C48="","",SUMIF('رصد الدرجات'!$3:$3,P$1,'رصد الدرجات'!35:35)))</f>
        <v/>
      </c>
      <c r="Q48" s="32" t="str">
        <f t="shared" si="5"/>
        <v/>
      </c>
      <c r="R48" s="33" t="str">
        <f t="shared" si="6"/>
        <v/>
      </c>
    </row>
    <row r="49" spans="1:18" ht="22.6" customHeight="1">
      <c r="A49" s="23">
        <f>'رصد الدرجات'!A36</f>
        <v>29</v>
      </c>
      <c r="B49" s="23" t="str">
        <f>IF('رصد الدرجات'!B36="","",'رصد الدرجات'!B36)</f>
        <v/>
      </c>
      <c r="C49" s="23" t="str">
        <f>IF('رصد الدرجات'!C36="","",'رصد الدرجات'!C36)</f>
        <v/>
      </c>
      <c r="D49" s="23" t="str">
        <f>IF(D$2="","",IF($C49="","",SUMIF('رصد الدرجات'!$3:$3,D$1,'رصد الدرجات'!36:36)))</f>
        <v/>
      </c>
      <c r="E49" s="23" t="str">
        <f>IF(E$2="","",IF($C49="","",SUMIF('رصد الدرجات'!$3:$3,E$1,'رصد الدرجات'!36:36)))</f>
        <v/>
      </c>
      <c r="F49" s="23" t="str">
        <f>IF(F$2="","",IF($C49="","",SUMIF('رصد الدرجات'!$3:$3,F$1,'رصد الدرجات'!36:36)))</f>
        <v/>
      </c>
      <c r="G49" s="23" t="str">
        <f>IF(G$2="","",IF($C49="","",SUMIF('رصد الدرجات'!$3:$3,G$1,'رصد الدرجات'!36:36)))</f>
        <v/>
      </c>
      <c r="H49" s="23" t="str">
        <f>IF(H$2="","",IF($C49="","",SUMIF('رصد الدرجات'!$3:$3,H$1,'رصد الدرجات'!36:36)))</f>
        <v/>
      </c>
      <c r="I49" s="23" t="str">
        <f>IF(I$2="","",IF($C49="","",SUMIF('رصد الدرجات'!$3:$3,I$1,'رصد الدرجات'!36:36)))</f>
        <v/>
      </c>
      <c r="J49" s="23" t="str">
        <f>IF(J$2="","",IF($C49="","",SUMIF('رصد الدرجات'!$3:$3,J$1,'رصد الدرجات'!36:36)))</f>
        <v/>
      </c>
      <c r="K49" s="23" t="str">
        <f>IF(K$2="","",IF($C49="","",SUMIF('رصد الدرجات'!$3:$3,K$1,'رصد الدرجات'!36:36)))</f>
        <v/>
      </c>
      <c r="L49" s="23" t="str">
        <f>IF(L$2="","",IF($C49="","",SUMIF('رصد الدرجات'!$3:$3,L$1,'رصد الدرجات'!36:36)))</f>
        <v/>
      </c>
      <c r="M49" s="23" t="str">
        <f>IF(M$2="","",IF($C49="","",SUMIF('رصد الدرجات'!$3:$3,M$1,'رصد الدرجات'!36:36)))</f>
        <v/>
      </c>
      <c r="N49" s="23" t="str">
        <f>IF(N$2="","",IF($C49="","",SUMIF('رصد الدرجات'!$3:$3,N$1,'رصد الدرجات'!36:36)))</f>
        <v/>
      </c>
      <c r="O49" s="23" t="str">
        <f>IF(O$2="","",IF($C49="","",SUMIF('رصد الدرجات'!$3:$3,O$1,'رصد الدرجات'!36:36)))</f>
        <v/>
      </c>
      <c r="P49" s="23" t="str">
        <f>IF(P$2="","",IF($C49="","",SUMIF('رصد الدرجات'!$3:$3,P$1,'رصد الدرجات'!36:36)))</f>
        <v/>
      </c>
      <c r="Q49" s="32" t="str">
        <f t="shared" si="5"/>
        <v/>
      </c>
      <c r="R49" s="33" t="str">
        <f t="shared" si="6"/>
        <v/>
      </c>
    </row>
    <row r="50" spans="1:18" ht="22.6" customHeight="1">
      <c r="A50" s="23">
        <f>'رصد الدرجات'!A37</f>
        <v>30</v>
      </c>
      <c r="B50" s="23" t="str">
        <f>IF('رصد الدرجات'!B37="","",'رصد الدرجات'!B37)</f>
        <v/>
      </c>
      <c r="C50" s="23" t="str">
        <f>IF('رصد الدرجات'!C37="","",'رصد الدرجات'!C37)</f>
        <v/>
      </c>
      <c r="D50" s="23" t="str">
        <f>IF(D$2="","",IF($C50="","",SUMIF('رصد الدرجات'!$3:$3,D$1,'رصد الدرجات'!37:37)))</f>
        <v/>
      </c>
      <c r="E50" s="23" t="str">
        <f>IF(E$2="","",IF($C50="","",SUMIF('رصد الدرجات'!$3:$3,E$1,'رصد الدرجات'!37:37)))</f>
        <v/>
      </c>
      <c r="F50" s="23" t="str">
        <f>IF(F$2="","",IF($C50="","",SUMIF('رصد الدرجات'!$3:$3,F$1,'رصد الدرجات'!37:37)))</f>
        <v/>
      </c>
      <c r="G50" s="23" t="str">
        <f>IF(G$2="","",IF($C50="","",SUMIF('رصد الدرجات'!$3:$3,G$1,'رصد الدرجات'!37:37)))</f>
        <v/>
      </c>
      <c r="H50" s="23" t="str">
        <f>IF(H$2="","",IF($C50="","",SUMIF('رصد الدرجات'!$3:$3,H$1,'رصد الدرجات'!37:37)))</f>
        <v/>
      </c>
      <c r="I50" s="23" t="str">
        <f>IF(I$2="","",IF($C50="","",SUMIF('رصد الدرجات'!$3:$3,I$1,'رصد الدرجات'!37:37)))</f>
        <v/>
      </c>
      <c r="J50" s="23" t="str">
        <f>IF(J$2="","",IF($C50="","",SUMIF('رصد الدرجات'!$3:$3,J$1,'رصد الدرجات'!37:37)))</f>
        <v/>
      </c>
      <c r="K50" s="23" t="str">
        <f>IF(K$2="","",IF($C50="","",SUMIF('رصد الدرجات'!$3:$3,K$1,'رصد الدرجات'!37:37)))</f>
        <v/>
      </c>
      <c r="L50" s="23" t="str">
        <f>IF(L$2="","",IF($C50="","",SUMIF('رصد الدرجات'!$3:$3,L$1,'رصد الدرجات'!37:37)))</f>
        <v/>
      </c>
      <c r="M50" s="23" t="str">
        <f>IF(M$2="","",IF($C50="","",SUMIF('رصد الدرجات'!$3:$3,M$1,'رصد الدرجات'!37:37)))</f>
        <v/>
      </c>
      <c r="N50" s="23" t="str">
        <f>IF(N$2="","",IF($C50="","",SUMIF('رصد الدرجات'!$3:$3,N$1,'رصد الدرجات'!37:37)))</f>
        <v/>
      </c>
      <c r="O50" s="23" t="str">
        <f>IF(O$2="","",IF($C50="","",SUMIF('رصد الدرجات'!$3:$3,O$1,'رصد الدرجات'!37:37)))</f>
        <v/>
      </c>
      <c r="P50" s="23" t="str">
        <f>IF(P$2="","",IF($C50="","",SUMIF('رصد الدرجات'!$3:$3,P$1,'رصد الدرجات'!37:37)))</f>
        <v/>
      </c>
      <c r="Q50" s="32" t="str">
        <f t="shared" si="5"/>
        <v/>
      </c>
      <c r="R50" s="33" t="str">
        <f t="shared" si="6"/>
        <v/>
      </c>
    </row>
    <row r="51" spans="1:18" ht="22.6" customHeight="1">
      <c r="A51" s="23">
        <f>'رصد الدرجات'!A38</f>
        <v>31</v>
      </c>
      <c r="B51" s="23" t="str">
        <f>IF('رصد الدرجات'!B38="","",'رصد الدرجات'!B38)</f>
        <v/>
      </c>
      <c r="C51" s="23" t="str">
        <f>IF('رصد الدرجات'!C38="","",'رصد الدرجات'!C38)</f>
        <v/>
      </c>
      <c r="D51" s="23" t="str">
        <f>IF(D$2="","",IF($C51="","",SUMIF('رصد الدرجات'!$3:$3,D$1,'رصد الدرجات'!38:38)))</f>
        <v/>
      </c>
      <c r="E51" s="23" t="str">
        <f>IF(E$2="","",IF($C51="","",SUMIF('رصد الدرجات'!$3:$3,E$1,'رصد الدرجات'!38:38)))</f>
        <v/>
      </c>
      <c r="F51" s="23" t="str">
        <f>IF(F$2="","",IF($C51="","",SUMIF('رصد الدرجات'!$3:$3,F$1,'رصد الدرجات'!38:38)))</f>
        <v/>
      </c>
      <c r="G51" s="23" t="str">
        <f>IF(G$2="","",IF($C51="","",SUMIF('رصد الدرجات'!$3:$3,G$1,'رصد الدرجات'!38:38)))</f>
        <v/>
      </c>
      <c r="H51" s="23" t="str">
        <f>IF(H$2="","",IF($C51="","",SUMIF('رصد الدرجات'!$3:$3,H$1,'رصد الدرجات'!38:38)))</f>
        <v/>
      </c>
      <c r="I51" s="23" t="str">
        <f>IF(I$2="","",IF($C51="","",SUMIF('رصد الدرجات'!$3:$3,I$1,'رصد الدرجات'!38:38)))</f>
        <v/>
      </c>
      <c r="J51" s="23" t="str">
        <f>IF(J$2="","",IF($C51="","",SUMIF('رصد الدرجات'!$3:$3,J$1,'رصد الدرجات'!38:38)))</f>
        <v/>
      </c>
      <c r="K51" s="23" t="str">
        <f>IF(K$2="","",IF($C51="","",SUMIF('رصد الدرجات'!$3:$3,K$1,'رصد الدرجات'!38:38)))</f>
        <v/>
      </c>
      <c r="L51" s="23" t="str">
        <f>IF(L$2="","",IF($C51="","",SUMIF('رصد الدرجات'!$3:$3,L$1,'رصد الدرجات'!38:38)))</f>
        <v/>
      </c>
      <c r="M51" s="23" t="str">
        <f>IF(M$2="","",IF($C51="","",SUMIF('رصد الدرجات'!$3:$3,M$1,'رصد الدرجات'!38:38)))</f>
        <v/>
      </c>
      <c r="N51" s="23" t="str">
        <f>IF(N$2="","",IF($C51="","",SUMIF('رصد الدرجات'!$3:$3,N$1,'رصد الدرجات'!38:38)))</f>
        <v/>
      </c>
      <c r="O51" s="23" t="str">
        <f>IF(O$2="","",IF($C51="","",SUMIF('رصد الدرجات'!$3:$3,O$1,'رصد الدرجات'!38:38)))</f>
        <v/>
      </c>
      <c r="P51" s="23" t="str">
        <f>IF(P$2="","",IF($C51="","",SUMIF('رصد الدرجات'!$3:$3,P$1,'رصد الدرجات'!38:38)))</f>
        <v/>
      </c>
      <c r="Q51" s="32" t="str">
        <f t="shared" si="5"/>
        <v/>
      </c>
      <c r="R51" s="33" t="str">
        <f t="shared" si="6"/>
        <v/>
      </c>
    </row>
    <row r="52" spans="1:18" ht="22.6" customHeight="1">
      <c r="A52" s="23">
        <f>'رصد الدرجات'!A39</f>
        <v>32</v>
      </c>
      <c r="B52" s="23" t="str">
        <f>IF('رصد الدرجات'!B39="","",'رصد الدرجات'!B39)</f>
        <v/>
      </c>
      <c r="C52" s="23" t="str">
        <f>IF('رصد الدرجات'!C39="","",'رصد الدرجات'!C39)</f>
        <v/>
      </c>
      <c r="D52" s="23" t="str">
        <f>IF(D$2="","",IF($C52="","",SUMIF('رصد الدرجات'!$3:$3,D$1,'رصد الدرجات'!39:39)))</f>
        <v/>
      </c>
      <c r="E52" s="23" t="str">
        <f>IF(E$2="","",IF($C52="","",SUMIF('رصد الدرجات'!$3:$3,E$1,'رصد الدرجات'!39:39)))</f>
        <v/>
      </c>
      <c r="F52" s="23" t="str">
        <f>IF(F$2="","",IF($C52="","",SUMIF('رصد الدرجات'!$3:$3,F$1,'رصد الدرجات'!39:39)))</f>
        <v/>
      </c>
      <c r="G52" s="23" t="str">
        <f>IF(G$2="","",IF($C52="","",SUMIF('رصد الدرجات'!$3:$3,G$1,'رصد الدرجات'!39:39)))</f>
        <v/>
      </c>
      <c r="H52" s="23" t="str">
        <f>IF(H$2="","",IF($C52="","",SUMIF('رصد الدرجات'!$3:$3,H$1,'رصد الدرجات'!39:39)))</f>
        <v/>
      </c>
      <c r="I52" s="23" t="str">
        <f>IF(I$2="","",IF($C52="","",SUMIF('رصد الدرجات'!$3:$3,I$1,'رصد الدرجات'!39:39)))</f>
        <v/>
      </c>
      <c r="J52" s="23" t="str">
        <f>IF(J$2="","",IF($C52="","",SUMIF('رصد الدرجات'!$3:$3,J$1,'رصد الدرجات'!39:39)))</f>
        <v/>
      </c>
      <c r="K52" s="23" t="str">
        <f>IF(K$2="","",IF($C52="","",SUMIF('رصد الدرجات'!$3:$3,K$1,'رصد الدرجات'!39:39)))</f>
        <v/>
      </c>
      <c r="L52" s="23" t="str">
        <f>IF(L$2="","",IF($C52="","",SUMIF('رصد الدرجات'!$3:$3,L$1,'رصد الدرجات'!39:39)))</f>
        <v/>
      </c>
      <c r="M52" s="23" t="str">
        <f>IF(M$2="","",IF($C52="","",SUMIF('رصد الدرجات'!$3:$3,M$1,'رصد الدرجات'!39:39)))</f>
        <v/>
      </c>
      <c r="N52" s="23" t="str">
        <f>IF(N$2="","",IF($C52="","",SUMIF('رصد الدرجات'!$3:$3,N$1,'رصد الدرجات'!39:39)))</f>
        <v/>
      </c>
      <c r="O52" s="23" t="str">
        <f>IF(O$2="","",IF($C52="","",SUMIF('رصد الدرجات'!$3:$3,O$1,'رصد الدرجات'!39:39)))</f>
        <v/>
      </c>
      <c r="P52" s="23" t="str">
        <f>IF(P$2="","",IF($C52="","",SUMIF('رصد الدرجات'!$3:$3,P$1,'رصد الدرجات'!39:39)))</f>
        <v/>
      </c>
      <c r="Q52" s="32" t="str">
        <f t="shared" si="5"/>
        <v/>
      </c>
      <c r="R52" s="33" t="str">
        <f t="shared" si="6"/>
        <v/>
      </c>
    </row>
    <row r="53" spans="1:18" ht="22.6" customHeight="1">
      <c r="A53" s="23">
        <f>'رصد الدرجات'!A40</f>
        <v>33</v>
      </c>
      <c r="B53" s="23" t="str">
        <f>IF('رصد الدرجات'!B40="","",'رصد الدرجات'!B40)</f>
        <v/>
      </c>
      <c r="C53" s="23" t="str">
        <f>IF('رصد الدرجات'!C40="","",'رصد الدرجات'!C40)</f>
        <v/>
      </c>
      <c r="D53" s="23" t="str">
        <f>IF(D$2="","",IF($C53="","",SUMIF('رصد الدرجات'!$3:$3,D$1,'رصد الدرجات'!40:40)))</f>
        <v/>
      </c>
      <c r="E53" s="23" t="str">
        <f>IF(E$2="","",IF($C53="","",SUMIF('رصد الدرجات'!$3:$3,E$1,'رصد الدرجات'!40:40)))</f>
        <v/>
      </c>
      <c r="F53" s="23" t="str">
        <f>IF(F$2="","",IF($C53="","",SUMIF('رصد الدرجات'!$3:$3,F$1,'رصد الدرجات'!40:40)))</f>
        <v/>
      </c>
      <c r="G53" s="23" t="str">
        <f>IF(G$2="","",IF($C53="","",SUMIF('رصد الدرجات'!$3:$3,G$1,'رصد الدرجات'!40:40)))</f>
        <v/>
      </c>
      <c r="H53" s="23" t="str">
        <f>IF(H$2="","",IF($C53="","",SUMIF('رصد الدرجات'!$3:$3,H$1,'رصد الدرجات'!40:40)))</f>
        <v/>
      </c>
      <c r="I53" s="23" t="str">
        <f>IF(I$2="","",IF($C53="","",SUMIF('رصد الدرجات'!$3:$3,I$1,'رصد الدرجات'!40:40)))</f>
        <v/>
      </c>
      <c r="J53" s="23" t="str">
        <f>IF(J$2="","",IF($C53="","",SUMIF('رصد الدرجات'!$3:$3,J$1,'رصد الدرجات'!40:40)))</f>
        <v/>
      </c>
      <c r="K53" s="23" t="str">
        <f>IF(K$2="","",IF($C53="","",SUMIF('رصد الدرجات'!$3:$3,K$1,'رصد الدرجات'!40:40)))</f>
        <v/>
      </c>
      <c r="L53" s="23" t="str">
        <f>IF(L$2="","",IF($C53="","",SUMIF('رصد الدرجات'!$3:$3,L$1,'رصد الدرجات'!40:40)))</f>
        <v/>
      </c>
      <c r="M53" s="23" t="str">
        <f>IF(M$2="","",IF($C53="","",SUMIF('رصد الدرجات'!$3:$3,M$1,'رصد الدرجات'!40:40)))</f>
        <v/>
      </c>
      <c r="N53" s="23" t="str">
        <f>IF(N$2="","",IF($C53="","",SUMIF('رصد الدرجات'!$3:$3,N$1,'رصد الدرجات'!40:40)))</f>
        <v/>
      </c>
      <c r="O53" s="23" t="str">
        <f>IF(O$2="","",IF($C53="","",SUMIF('رصد الدرجات'!$3:$3,O$1,'رصد الدرجات'!40:40)))</f>
        <v/>
      </c>
      <c r="P53" s="23" t="str">
        <f>IF(P$2="","",IF($C53="","",SUMIF('رصد الدرجات'!$3:$3,P$1,'رصد الدرجات'!40:40)))</f>
        <v/>
      </c>
      <c r="Q53" s="32" t="str">
        <f t="shared" ref="Q53:Q60" si="7">IF($C53="","",SUM(D53:P53))</f>
        <v/>
      </c>
      <c r="R53" s="33" t="str">
        <f t="shared" ref="R53:R60" si="8">IF(C53="","",IF(Q53&gt;100,"خطأ",IF(Q53&gt;=95,"أ+",IF(Q53&gt;=90,"أ",IF(Q53&gt;=85,"ب+",IF(Q53&gt;=80,"ب",IF(Q53&gt;=75,"ج+",IF(Q53&gt;=70,"ج",IF(Q53&gt;=65,"د+",IF(Q53&gt;=60,"د",IF(Q53&gt;=0,"ه","")))))))))))</f>
        <v/>
      </c>
    </row>
    <row r="54" spans="1:18" ht="22.6" customHeight="1">
      <c r="A54" s="23">
        <f>'رصد الدرجات'!A41</f>
        <v>34</v>
      </c>
      <c r="B54" s="23" t="str">
        <f>IF('رصد الدرجات'!B41="","",'رصد الدرجات'!B41)</f>
        <v/>
      </c>
      <c r="C54" s="23" t="str">
        <f>IF('رصد الدرجات'!C41="","",'رصد الدرجات'!C41)</f>
        <v/>
      </c>
      <c r="D54" s="23" t="str">
        <f>IF(D$2="","",IF($C54="","",SUMIF('رصد الدرجات'!$3:$3,D$1,'رصد الدرجات'!41:41)))</f>
        <v/>
      </c>
      <c r="E54" s="23" t="str">
        <f>IF(E$2="","",IF($C54="","",SUMIF('رصد الدرجات'!$3:$3,E$1,'رصد الدرجات'!41:41)))</f>
        <v/>
      </c>
      <c r="F54" s="23" t="str">
        <f>IF(F$2="","",IF($C54="","",SUMIF('رصد الدرجات'!$3:$3,F$1,'رصد الدرجات'!41:41)))</f>
        <v/>
      </c>
      <c r="G54" s="23" t="str">
        <f>IF(G$2="","",IF($C54="","",SUMIF('رصد الدرجات'!$3:$3,G$1,'رصد الدرجات'!41:41)))</f>
        <v/>
      </c>
      <c r="H54" s="23" t="str">
        <f>IF(H$2="","",IF($C54="","",SUMIF('رصد الدرجات'!$3:$3,H$1,'رصد الدرجات'!41:41)))</f>
        <v/>
      </c>
      <c r="I54" s="23" t="str">
        <f>IF(I$2="","",IF($C54="","",SUMIF('رصد الدرجات'!$3:$3,I$1,'رصد الدرجات'!41:41)))</f>
        <v/>
      </c>
      <c r="J54" s="23" t="str">
        <f>IF(J$2="","",IF($C54="","",SUMIF('رصد الدرجات'!$3:$3,J$1,'رصد الدرجات'!41:41)))</f>
        <v/>
      </c>
      <c r="K54" s="23" t="str">
        <f>IF(K$2="","",IF($C54="","",SUMIF('رصد الدرجات'!$3:$3,K$1,'رصد الدرجات'!41:41)))</f>
        <v/>
      </c>
      <c r="L54" s="23" t="str">
        <f>IF(L$2="","",IF($C54="","",SUMIF('رصد الدرجات'!$3:$3,L$1,'رصد الدرجات'!41:41)))</f>
        <v/>
      </c>
      <c r="M54" s="23" t="str">
        <f>IF(M$2="","",IF($C54="","",SUMIF('رصد الدرجات'!$3:$3,M$1,'رصد الدرجات'!41:41)))</f>
        <v/>
      </c>
      <c r="N54" s="23" t="str">
        <f>IF(N$2="","",IF($C54="","",SUMIF('رصد الدرجات'!$3:$3,N$1,'رصد الدرجات'!41:41)))</f>
        <v/>
      </c>
      <c r="O54" s="23" t="str">
        <f>IF(O$2="","",IF($C54="","",SUMIF('رصد الدرجات'!$3:$3,O$1,'رصد الدرجات'!41:41)))</f>
        <v/>
      </c>
      <c r="P54" s="23" t="str">
        <f>IF(P$2="","",IF($C54="","",SUMIF('رصد الدرجات'!$3:$3,P$1,'رصد الدرجات'!41:41)))</f>
        <v/>
      </c>
      <c r="Q54" s="32" t="str">
        <f t="shared" si="7"/>
        <v/>
      </c>
      <c r="R54" s="33" t="str">
        <f t="shared" si="8"/>
        <v/>
      </c>
    </row>
    <row r="55" spans="1:18" ht="22.6" customHeight="1">
      <c r="A55" s="23">
        <f>'رصد الدرجات'!A42</f>
        <v>35</v>
      </c>
      <c r="B55" s="23" t="str">
        <f>IF('رصد الدرجات'!B42="","",'رصد الدرجات'!B42)</f>
        <v/>
      </c>
      <c r="C55" s="23" t="str">
        <f>IF('رصد الدرجات'!C42="","",'رصد الدرجات'!C42)</f>
        <v/>
      </c>
      <c r="D55" s="23" t="str">
        <f>IF(D$2="","",IF($C55="","",SUMIF('رصد الدرجات'!$3:$3,D$1,'رصد الدرجات'!42:42)))</f>
        <v/>
      </c>
      <c r="E55" s="23" t="str">
        <f>IF(E$2="","",IF($C55="","",SUMIF('رصد الدرجات'!$3:$3,E$1,'رصد الدرجات'!42:42)))</f>
        <v/>
      </c>
      <c r="F55" s="23" t="str">
        <f>IF(F$2="","",IF($C55="","",SUMIF('رصد الدرجات'!$3:$3,F$1,'رصد الدرجات'!42:42)))</f>
        <v/>
      </c>
      <c r="G55" s="23" t="str">
        <f>IF(G$2="","",IF($C55="","",SUMIF('رصد الدرجات'!$3:$3,G$1,'رصد الدرجات'!42:42)))</f>
        <v/>
      </c>
      <c r="H55" s="23" t="str">
        <f>IF(H$2="","",IF($C55="","",SUMIF('رصد الدرجات'!$3:$3,H$1,'رصد الدرجات'!42:42)))</f>
        <v/>
      </c>
      <c r="I55" s="23" t="str">
        <f>IF(I$2="","",IF($C55="","",SUMIF('رصد الدرجات'!$3:$3,I$1,'رصد الدرجات'!42:42)))</f>
        <v/>
      </c>
      <c r="J55" s="23" t="str">
        <f>IF(J$2="","",IF($C55="","",SUMIF('رصد الدرجات'!$3:$3,J$1,'رصد الدرجات'!42:42)))</f>
        <v/>
      </c>
      <c r="K55" s="23" t="str">
        <f>IF(K$2="","",IF($C55="","",SUMIF('رصد الدرجات'!$3:$3,K$1,'رصد الدرجات'!42:42)))</f>
        <v/>
      </c>
      <c r="L55" s="23" t="str">
        <f>IF(L$2="","",IF($C55="","",SUMIF('رصد الدرجات'!$3:$3,L$1,'رصد الدرجات'!42:42)))</f>
        <v/>
      </c>
      <c r="M55" s="23" t="str">
        <f>IF(M$2="","",IF($C55="","",SUMIF('رصد الدرجات'!$3:$3,M$1,'رصد الدرجات'!42:42)))</f>
        <v/>
      </c>
      <c r="N55" s="23" t="str">
        <f>IF(N$2="","",IF($C55="","",SUMIF('رصد الدرجات'!$3:$3,N$1,'رصد الدرجات'!42:42)))</f>
        <v/>
      </c>
      <c r="O55" s="23" t="str">
        <f>IF(O$2="","",IF($C55="","",SUMIF('رصد الدرجات'!$3:$3,O$1,'رصد الدرجات'!42:42)))</f>
        <v/>
      </c>
      <c r="P55" s="23" t="str">
        <f>IF(P$2="","",IF($C55="","",SUMIF('رصد الدرجات'!$3:$3,P$1,'رصد الدرجات'!42:42)))</f>
        <v/>
      </c>
      <c r="Q55" s="32" t="str">
        <f t="shared" si="7"/>
        <v/>
      </c>
      <c r="R55" s="33" t="str">
        <f t="shared" si="8"/>
        <v/>
      </c>
    </row>
    <row r="56" spans="1:18" ht="22.6" customHeight="1">
      <c r="A56" s="23">
        <f>'رصد الدرجات'!A43</f>
        <v>36</v>
      </c>
      <c r="B56" s="23" t="str">
        <f>IF('رصد الدرجات'!B43="","",'رصد الدرجات'!B43)</f>
        <v/>
      </c>
      <c r="C56" s="23" t="str">
        <f>IF('رصد الدرجات'!C43="","",'رصد الدرجات'!C43)</f>
        <v/>
      </c>
      <c r="D56" s="23" t="str">
        <f>IF(D$2="","",IF($C56="","",SUMIF('رصد الدرجات'!$3:$3,D$1,'رصد الدرجات'!43:43)))</f>
        <v/>
      </c>
      <c r="E56" s="23" t="str">
        <f>IF(E$2="","",IF($C56="","",SUMIF('رصد الدرجات'!$3:$3,E$1,'رصد الدرجات'!43:43)))</f>
        <v/>
      </c>
      <c r="F56" s="23" t="str">
        <f>IF(F$2="","",IF($C56="","",SUMIF('رصد الدرجات'!$3:$3,F$1,'رصد الدرجات'!43:43)))</f>
        <v/>
      </c>
      <c r="G56" s="23" t="str">
        <f>IF(G$2="","",IF($C56="","",SUMIF('رصد الدرجات'!$3:$3,G$1,'رصد الدرجات'!43:43)))</f>
        <v/>
      </c>
      <c r="H56" s="23" t="str">
        <f>IF(H$2="","",IF($C56="","",SUMIF('رصد الدرجات'!$3:$3,H$1,'رصد الدرجات'!43:43)))</f>
        <v/>
      </c>
      <c r="I56" s="23" t="str">
        <f>IF(I$2="","",IF($C56="","",SUMIF('رصد الدرجات'!$3:$3,I$1,'رصد الدرجات'!43:43)))</f>
        <v/>
      </c>
      <c r="J56" s="23" t="str">
        <f>IF(J$2="","",IF($C56="","",SUMIF('رصد الدرجات'!$3:$3,J$1,'رصد الدرجات'!43:43)))</f>
        <v/>
      </c>
      <c r="K56" s="23" t="str">
        <f>IF(K$2="","",IF($C56="","",SUMIF('رصد الدرجات'!$3:$3,K$1,'رصد الدرجات'!43:43)))</f>
        <v/>
      </c>
      <c r="L56" s="23" t="str">
        <f>IF(L$2="","",IF($C56="","",SUMIF('رصد الدرجات'!$3:$3,L$1,'رصد الدرجات'!43:43)))</f>
        <v/>
      </c>
      <c r="M56" s="23" t="str">
        <f>IF(M$2="","",IF($C56="","",SUMIF('رصد الدرجات'!$3:$3,M$1,'رصد الدرجات'!43:43)))</f>
        <v/>
      </c>
      <c r="N56" s="23" t="str">
        <f>IF(N$2="","",IF($C56="","",SUMIF('رصد الدرجات'!$3:$3,N$1,'رصد الدرجات'!43:43)))</f>
        <v/>
      </c>
      <c r="O56" s="23" t="str">
        <f>IF(O$2="","",IF($C56="","",SUMIF('رصد الدرجات'!$3:$3,O$1,'رصد الدرجات'!43:43)))</f>
        <v/>
      </c>
      <c r="P56" s="23" t="str">
        <f>IF(P$2="","",IF($C56="","",SUMIF('رصد الدرجات'!$3:$3,P$1,'رصد الدرجات'!43:43)))</f>
        <v/>
      </c>
      <c r="Q56" s="32" t="str">
        <f t="shared" si="7"/>
        <v/>
      </c>
      <c r="R56" s="33" t="str">
        <f t="shared" si="8"/>
        <v/>
      </c>
    </row>
    <row r="57" spans="1:18" ht="22.6" customHeight="1">
      <c r="A57" s="23">
        <f>'رصد الدرجات'!A44</f>
        <v>37</v>
      </c>
      <c r="B57" s="23" t="str">
        <f>IF('رصد الدرجات'!B44="","",'رصد الدرجات'!B44)</f>
        <v/>
      </c>
      <c r="C57" s="23" t="str">
        <f>IF('رصد الدرجات'!C44="","",'رصد الدرجات'!C44)</f>
        <v/>
      </c>
      <c r="D57" s="23" t="str">
        <f>IF(D$2="","",IF($C57="","",SUMIF('رصد الدرجات'!$3:$3,D$1,'رصد الدرجات'!44:44)))</f>
        <v/>
      </c>
      <c r="E57" s="23" t="str">
        <f>IF(E$2="","",IF($C57="","",SUMIF('رصد الدرجات'!$3:$3,E$1,'رصد الدرجات'!44:44)))</f>
        <v/>
      </c>
      <c r="F57" s="23" t="str">
        <f>IF(F$2="","",IF($C57="","",SUMIF('رصد الدرجات'!$3:$3,F$1,'رصد الدرجات'!44:44)))</f>
        <v/>
      </c>
      <c r="G57" s="23" t="str">
        <f>IF(G$2="","",IF($C57="","",SUMIF('رصد الدرجات'!$3:$3,G$1,'رصد الدرجات'!44:44)))</f>
        <v/>
      </c>
      <c r="H57" s="23" t="str">
        <f>IF(H$2="","",IF($C57="","",SUMIF('رصد الدرجات'!$3:$3,H$1,'رصد الدرجات'!44:44)))</f>
        <v/>
      </c>
      <c r="I57" s="23" t="str">
        <f>IF(I$2="","",IF($C57="","",SUMIF('رصد الدرجات'!$3:$3,I$1,'رصد الدرجات'!44:44)))</f>
        <v/>
      </c>
      <c r="J57" s="23" t="str">
        <f>IF(J$2="","",IF($C57="","",SUMIF('رصد الدرجات'!$3:$3,J$1,'رصد الدرجات'!44:44)))</f>
        <v/>
      </c>
      <c r="K57" s="23" t="str">
        <f>IF(K$2="","",IF($C57="","",SUMIF('رصد الدرجات'!$3:$3,K$1,'رصد الدرجات'!44:44)))</f>
        <v/>
      </c>
      <c r="L57" s="23" t="str">
        <f>IF(L$2="","",IF($C57="","",SUMIF('رصد الدرجات'!$3:$3,L$1,'رصد الدرجات'!44:44)))</f>
        <v/>
      </c>
      <c r="M57" s="23" t="str">
        <f>IF(M$2="","",IF($C57="","",SUMIF('رصد الدرجات'!$3:$3,M$1,'رصد الدرجات'!44:44)))</f>
        <v/>
      </c>
      <c r="N57" s="23" t="str">
        <f>IF(N$2="","",IF($C57="","",SUMIF('رصد الدرجات'!$3:$3,N$1,'رصد الدرجات'!44:44)))</f>
        <v/>
      </c>
      <c r="O57" s="23" t="str">
        <f>IF(O$2="","",IF($C57="","",SUMIF('رصد الدرجات'!$3:$3,O$1,'رصد الدرجات'!44:44)))</f>
        <v/>
      </c>
      <c r="P57" s="23" t="str">
        <f>IF(P$2="","",IF($C57="","",SUMIF('رصد الدرجات'!$3:$3,P$1,'رصد الدرجات'!44:44)))</f>
        <v/>
      </c>
      <c r="Q57" s="32" t="str">
        <f t="shared" si="7"/>
        <v/>
      </c>
      <c r="R57" s="33" t="str">
        <f t="shared" si="8"/>
        <v/>
      </c>
    </row>
    <row r="58" spans="1:18" ht="22.6" customHeight="1">
      <c r="A58" s="23">
        <f>'رصد الدرجات'!A45</f>
        <v>38</v>
      </c>
      <c r="B58" s="23" t="str">
        <f>IF('رصد الدرجات'!B45="","",'رصد الدرجات'!B45)</f>
        <v/>
      </c>
      <c r="C58" s="23" t="str">
        <f>IF('رصد الدرجات'!C45="","",'رصد الدرجات'!C45)</f>
        <v/>
      </c>
      <c r="D58" s="23" t="str">
        <f>IF(D$2="","",IF($C58="","",SUMIF('رصد الدرجات'!$3:$3,D$1,'رصد الدرجات'!45:45)))</f>
        <v/>
      </c>
      <c r="E58" s="23" t="str">
        <f>IF(E$2="","",IF($C58="","",SUMIF('رصد الدرجات'!$3:$3,E$1,'رصد الدرجات'!45:45)))</f>
        <v/>
      </c>
      <c r="F58" s="23" t="str">
        <f>IF(F$2="","",IF($C58="","",SUMIF('رصد الدرجات'!$3:$3,F$1,'رصد الدرجات'!45:45)))</f>
        <v/>
      </c>
      <c r="G58" s="23" t="str">
        <f>IF(G$2="","",IF($C58="","",SUMIF('رصد الدرجات'!$3:$3,G$1,'رصد الدرجات'!45:45)))</f>
        <v/>
      </c>
      <c r="H58" s="23" t="str">
        <f>IF(H$2="","",IF($C58="","",SUMIF('رصد الدرجات'!$3:$3,H$1,'رصد الدرجات'!45:45)))</f>
        <v/>
      </c>
      <c r="I58" s="23" t="str">
        <f>IF(I$2="","",IF($C58="","",SUMIF('رصد الدرجات'!$3:$3,I$1,'رصد الدرجات'!45:45)))</f>
        <v/>
      </c>
      <c r="J58" s="23" t="str">
        <f>IF(J$2="","",IF($C58="","",SUMIF('رصد الدرجات'!$3:$3,J$1,'رصد الدرجات'!45:45)))</f>
        <v/>
      </c>
      <c r="K58" s="23" t="str">
        <f>IF(K$2="","",IF($C58="","",SUMIF('رصد الدرجات'!$3:$3,K$1,'رصد الدرجات'!45:45)))</f>
        <v/>
      </c>
      <c r="L58" s="23" t="str">
        <f>IF(L$2="","",IF($C58="","",SUMIF('رصد الدرجات'!$3:$3,L$1,'رصد الدرجات'!45:45)))</f>
        <v/>
      </c>
      <c r="M58" s="23" t="str">
        <f>IF(M$2="","",IF($C58="","",SUMIF('رصد الدرجات'!$3:$3,M$1,'رصد الدرجات'!45:45)))</f>
        <v/>
      </c>
      <c r="N58" s="23" t="str">
        <f>IF(N$2="","",IF($C58="","",SUMIF('رصد الدرجات'!$3:$3,N$1,'رصد الدرجات'!45:45)))</f>
        <v/>
      </c>
      <c r="O58" s="23" t="str">
        <f>IF(O$2="","",IF($C58="","",SUMIF('رصد الدرجات'!$3:$3,O$1,'رصد الدرجات'!45:45)))</f>
        <v/>
      </c>
      <c r="P58" s="23" t="str">
        <f>IF(P$2="","",IF($C58="","",SUMIF('رصد الدرجات'!$3:$3,P$1,'رصد الدرجات'!45:45)))</f>
        <v/>
      </c>
      <c r="Q58" s="32" t="str">
        <f t="shared" si="7"/>
        <v/>
      </c>
      <c r="R58" s="33" t="str">
        <f t="shared" si="8"/>
        <v/>
      </c>
    </row>
    <row r="59" spans="1:18" ht="22.6" customHeight="1">
      <c r="A59" s="23">
        <f>'رصد الدرجات'!A46</f>
        <v>39</v>
      </c>
      <c r="B59" s="23" t="str">
        <f>IF('رصد الدرجات'!B46="","",'رصد الدرجات'!B46)</f>
        <v/>
      </c>
      <c r="C59" s="23" t="str">
        <f>IF('رصد الدرجات'!C46="","",'رصد الدرجات'!C46)</f>
        <v/>
      </c>
      <c r="D59" s="23" t="str">
        <f>IF(D$2="","",IF($C59="","",SUMIF('رصد الدرجات'!$3:$3,D$1,'رصد الدرجات'!46:46)))</f>
        <v/>
      </c>
      <c r="E59" s="23" t="str">
        <f>IF(E$2="","",IF($C59="","",SUMIF('رصد الدرجات'!$3:$3,E$1,'رصد الدرجات'!46:46)))</f>
        <v/>
      </c>
      <c r="F59" s="23" t="str">
        <f>IF(F$2="","",IF($C59="","",SUMIF('رصد الدرجات'!$3:$3,F$1,'رصد الدرجات'!46:46)))</f>
        <v/>
      </c>
      <c r="G59" s="23" t="str">
        <f>IF(G$2="","",IF($C59="","",SUMIF('رصد الدرجات'!$3:$3,G$1,'رصد الدرجات'!46:46)))</f>
        <v/>
      </c>
      <c r="H59" s="23" t="str">
        <f>IF(H$2="","",IF($C59="","",SUMIF('رصد الدرجات'!$3:$3,H$1,'رصد الدرجات'!46:46)))</f>
        <v/>
      </c>
      <c r="I59" s="23" t="str">
        <f>IF(I$2="","",IF($C59="","",SUMIF('رصد الدرجات'!$3:$3,I$1,'رصد الدرجات'!46:46)))</f>
        <v/>
      </c>
      <c r="J59" s="23" t="str">
        <f>IF(J$2="","",IF($C59="","",SUMIF('رصد الدرجات'!$3:$3,J$1,'رصد الدرجات'!46:46)))</f>
        <v/>
      </c>
      <c r="K59" s="23" t="str">
        <f>IF(K$2="","",IF($C59="","",SUMIF('رصد الدرجات'!$3:$3,K$1,'رصد الدرجات'!46:46)))</f>
        <v/>
      </c>
      <c r="L59" s="23" t="str">
        <f>IF(L$2="","",IF($C59="","",SUMIF('رصد الدرجات'!$3:$3,L$1,'رصد الدرجات'!46:46)))</f>
        <v/>
      </c>
      <c r="M59" s="23" t="str">
        <f>IF(M$2="","",IF($C59="","",SUMIF('رصد الدرجات'!$3:$3,M$1,'رصد الدرجات'!46:46)))</f>
        <v/>
      </c>
      <c r="N59" s="23" t="str">
        <f>IF(N$2="","",IF($C59="","",SUMIF('رصد الدرجات'!$3:$3,N$1,'رصد الدرجات'!46:46)))</f>
        <v/>
      </c>
      <c r="O59" s="23" t="str">
        <f>IF(O$2="","",IF($C59="","",SUMIF('رصد الدرجات'!$3:$3,O$1,'رصد الدرجات'!46:46)))</f>
        <v/>
      </c>
      <c r="P59" s="23" t="str">
        <f>IF(P$2="","",IF($C59="","",SUMIF('رصد الدرجات'!$3:$3,P$1,'رصد الدرجات'!46:46)))</f>
        <v/>
      </c>
      <c r="Q59" s="32" t="str">
        <f t="shared" si="7"/>
        <v/>
      </c>
      <c r="R59" s="33" t="str">
        <f t="shared" si="8"/>
        <v/>
      </c>
    </row>
    <row r="60" spans="1:18" ht="22.6" customHeight="1">
      <c r="A60" s="23">
        <f>'رصد الدرجات'!A47</f>
        <v>40</v>
      </c>
      <c r="B60" s="23" t="str">
        <f>IF('رصد الدرجات'!B47="","",'رصد الدرجات'!B47)</f>
        <v/>
      </c>
      <c r="C60" s="23" t="str">
        <f>IF('رصد الدرجات'!C47="","",'رصد الدرجات'!C47)</f>
        <v/>
      </c>
      <c r="D60" s="23" t="str">
        <f>IF(D$2="","",IF($C60="","",SUMIF('رصد الدرجات'!$3:$3,D$1,'رصد الدرجات'!47:47)))</f>
        <v/>
      </c>
      <c r="E60" s="23" t="str">
        <f>IF(E$2="","",IF($C60="","",SUMIF('رصد الدرجات'!$3:$3,E$1,'رصد الدرجات'!47:47)))</f>
        <v/>
      </c>
      <c r="F60" s="23" t="str">
        <f>IF(F$2="","",IF($C60="","",SUMIF('رصد الدرجات'!$3:$3,F$1,'رصد الدرجات'!47:47)))</f>
        <v/>
      </c>
      <c r="G60" s="23" t="str">
        <f>IF(G$2="","",IF($C60="","",SUMIF('رصد الدرجات'!$3:$3,G$1,'رصد الدرجات'!47:47)))</f>
        <v/>
      </c>
      <c r="H60" s="23" t="str">
        <f>IF(H$2="","",IF($C60="","",SUMIF('رصد الدرجات'!$3:$3,H$1,'رصد الدرجات'!47:47)))</f>
        <v/>
      </c>
      <c r="I60" s="23" t="str">
        <f>IF(I$2="","",IF($C60="","",SUMIF('رصد الدرجات'!$3:$3,I$1,'رصد الدرجات'!47:47)))</f>
        <v/>
      </c>
      <c r="J60" s="23" t="str">
        <f>IF(J$2="","",IF($C60="","",SUMIF('رصد الدرجات'!$3:$3,J$1,'رصد الدرجات'!47:47)))</f>
        <v/>
      </c>
      <c r="K60" s="23" t="str">
        <f>IF(K$2="","",IF($C60="","",SUMIF('رصد الدرجات'!$3:$3,K$1,'رصد الدرجات'!47:47)))</f>
        <v/>
      </c>
      <c r="L60" s="23" t="str">
        <f>IF(L$2="","",IF($C60="","",SUMIF('رصد الدرجات'!$3:$3,L$1,'رصد الدرجات'!47:47)))</f>
        <v/>
      </c>
      <c r="M60" s="23" t="str">
        <f>IF(M$2="","",IF($C60="","",SUMIF('رصد الدرجات'!$3:$3,M$1,'رصد الدرجات'!47:47)))</f>
        <v/>
      </c>
      <c r="N60" s="23" t="str">
        <f>IF(N$2="","",IF($C60="","",SUMIF('رصد الدرجات'!$3:$3,N$1,'رصد الدرجات'!47:47)))</f>
        <v/>
      </c>
      <c r="O60" s="23" t="str">
        <f>IF(O$2="","",IF($C60="","",SUMIF('رصد الدرجات'!$3:$3,O$1,'رصد الدرجات'!47:47)))</f>
        <v/>
      </c>
      <c r="P60" s="23" t="str">
        <f>IF(P$2="","",IF($C60="","",SUMIF('رصد الدرجات'!$3:$3,P$1,'رصد الدرجات'!47:47)))</f>
        <v/>
      </c>
      <c r="Q60" s="32" t="str">
        <f t="shared" si="7"/>
        <v/>
      </c>
      <c r="R60" s="33" t="str">
        <f t="shared" si="8"/>
        <v/>
      </c>
    </row>
    <row r="61" spans="1:18" ht="22.6" customHeight="1">
      <c r="Q61" s="26"/>
      <c r="R61" s="34"/>
    </row>
  </sheetData>
  <sheetProtection formatCells="0" formatColumns="0" formatRows="0"/>
  <mergeCells count="16">
    <mergeCell ref="R18:R19"/>
    <mergeCell ref="B6:C7"/>
    <mergeCell ref="B11:C12"/>
    <mergeCell ref="B13:C14"/>
    <mergeCell ref="B15:C16"/>
    <mergeCell ref="B8:C9"/>
    <mergeCell ref="A6:A9"/>
    <mergeCell ref="A11:A16"/>
    <mergeCell ref="A18:A19"/>
    <mergeCell ref="B18:B19"/>
    <mergeCell ref="C18:C19"/>
    <mergeCell ref="B1:C1"/>
    <mergeCell ref="B2:C2"/>
    <mergeCell ref="B3:C3"/>
    <mergeCell ref="B4:C4"/>
    <mergeCell ref="A1:A4"/>
  </mergeCells>
  <conditionalFormatting sqref="D21:P60">
    <cfRule type="expression" dxfId="1" priority="2">
      <formula>D21&lt;D$7</formula>
    </cfRule>
  </conditionalFormatting>
  <conditionalFormatting sqref="R21:R61">
    <cfRule type="containsText" dxfId="0" priority="5" operator="containsText" text="خطأ">
      <formula>NOT(ISERROR(SEARCH("خطأ",R21)))</formula>
    </cfRule>
  </conditionalFormatting>
  <pageMargins left="0.70866141732283505" right="0.70866141732283505" top="0.74803149606299202" bottom="0.74803149606299202" header="0.31496062992126" footer="0.31496062992126"/>
  <pageSetup scale="54" fitToHeight="0" orientation="landscape" horizontalDpi="300"/>
  <headerFooter>
    <oddFooter>&amp;CPrepared by: Muhammad Akram</oddFooter>
  </headerFooter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6" master="" otherUserPermission="visible"/>
  <rangeList sheetStid="17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نواتج التعلم</vt:lpstr>
      <vt:lpstr>رصد الدرجات</vt:lpstr>
      <vt:lpstr>قياس النواتج</vt:lpstr>
      <vt:lpstr>'رصد الدرجات'!Print_Titles</vt:lpstr>
      <vt:lpstr>'قياس النواتج'!Print_Titles</vt:lpstr>
    </vt:vector>
  </TitlesOfParts>
  <Company>DCS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djafar nesreddine</cp:lastModifiedBy>
  <cp:lastPrinted>2023-11-25T13:01:00Z</cp:lastPrinted>
  <dcterms:created xsi:type="dcterms:W3CDTF">2005-05-14T06:33:00Z</dcterms:created>
  <dcterms:modified xsi:type="dcterms:W3CDTF">2025-11-18T19:00:35Z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E3423BA23DA643378199F3B2030EB793_12</vt:lpwstr>
  </property>
  <property fmtid="{D5CDD505-2E9C-101B-9397-08002B2CF9AE}" pid="3" name="KSOProductBuildVer">
    <vt:lpwstr>1033-12.2.0.22549</vt:lpwstr>
  </property>
</Properties>
</file>